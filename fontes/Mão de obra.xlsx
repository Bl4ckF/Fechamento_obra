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elmigproject-my.sharepoint.com/personal/matheus_araujo_engelmig_com_br/Documents/Área de Trabalho/Fechamento_Obras_Engelmig/fontes/"/>
    </mc:Choice>
  </mc:AlternateContent>
  <xr:revisionPtr revIDLastSave="205" documentId="13_ncr:1_{9D159AAA-EA6A-4FCC-9B32-813F4DEBB6E8}" xr6:coauthVersionLast="47" xr6:coauthVersionMax="47" xr10:uidLastSave="{F619DA0F-4CF4-4375-AFAA-B89B3DD3AC19}"/>
  <bookViews>
    <workbookView xWindow="-120" yWindow="-120" windowWidth="29040" windowHeight="15720" activeTab="1" xr2:uid="{7F2FD8BE-D84B-4662-8093-1630DA5BB943}"/>
  </bookViews>
  <sheets>
    <sheet name="C&amp;M (LM)" sheetId="1" r:id="rId1"/>
    <sheet name="C&amp;M (LV)" sheetId="2" r:id="rId2"/>
    <sheet name="PAGAMENTOS ESPECIAIS" sheetId="3" r:id="rId3"/>
  </sheets>
  <externalReferences>
    <externalReference r:id="rId4"/>
  </externalReferences>
  <definedNames>
    <definedName name="_xlnm._FilterDatabase" localSheetId="0" hidden="1">'C&amp;M (LM)'!$A$1:$I$514</definedName>
    <definedName name="_xlnm._FilterDatabase" localSheetId="1" hidden="1">'C&amp;M (LV)'!$A$1:$H$212</definedName>
    <definedName name="_xlnm._FilterDatabase" localSheetId="2" hidden="1">'PAGAMENTOS ESPECIAIS'!$C$2:$G$11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2" i="1"/>
  <c r="K316" i="1"/>
  <c r="I280" i="1"/>
  <c r="J2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 Pereira Fernandes</author>
  </authors>
  <commentList>
    <comment ref="G3" authorId="0" shapeId="0" xr:uid="{5F5CD466-CEB0-4A87-AD47-65DDB9B7E6F7}">
      <text>
        <r>
          <rPr>
            <b/>
            <sz val="9"/>
            <color indexed="81"/>
            <rFont val="Segoe UI"/>
            <family val="2"/>
          </rPr>
          <t xml:space="preserve">(60/10)*1,76 = 10,56
60 minutos
</t>
        </r>
        <r>
          <rPr>
            <sz val="9"/>
            <color indexed="81"/>
            <rFont val="Segoe UI"/>
            <family val="2"/>
          </rPr>
          <t xml:space="preserve">- 9,77 Recolha de todo material
- 7,83 Nova APR
- 10,96 Nova Comunic COI
- 19,27 Nova Regras de Ouro (ditais)
- 12,17 Nova Sinalização
</t>
        </r>
        <r>
          <rPr>
            <b/>
            <sz val="9"/>
            <color indexed="81"/>
            <rFont val="Segoe UI"/>
            <family val="2"/>
          </rPr>
          <t xml:space="preserve">
1,76 = 6 colaboradores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4" authorId="0" shapeId="0" xr:uid="{9DB78A38-3F09-4DCD-8A22-0BD35C6C217B}">
      <text>
        <r>
          <rPr>
            <b/>
            <sz val="9"/>
            <color indexed="81"/>
            <rFont val="Segoe UI"/>
            <family val="2"/>
          </rPr>
          <t>(60/45)/10*1,95 = 0,26
45km/h
60 minutos
1,95 = incremento 7 colaboradores</t>
        </r>
      </text>
    </comment>
    <comment ref="G5" authorId="0" shapeId="0" xr:uid="{C40071B7-B58D-4192-ADE9-5D411C98FC19}">
      <text>
        <r>
          <rPr>
            <b/>
            <sz val="9"/>
            <color indexed="81"/>
            <rFont val="Segoe UI"/>
            <family val="2"/>
          </rPr>
          <t>((60/60)/10 )*1,38 = 0,14
60km/h
60 minutos
1,38= incremento 4 colaboradores</t>
        </r>
      </text>
    </comment>
    <comment ref="G6" authorId="0" shapeId="0" xr:uid="{BE17B7CE-59C7-4241-B8D2-A260FA44E747}">
      <text>
        <r>
          <rPr>
            <b/>
            <sz val="9"/>
            <color indexed="81"/>
            <rFont val="Segoe UI"/>
            <family val="2"/>
          </rPr>
          <t>((60/65)/10 )*1= 0,09
65km/h
60 minutos
1 = incremento 2 colaboradores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<sst xmlns="http://schemas.openxmlformats.org/spreadsheetml/2006/main" count="3667" uniqueCount="1429">
  <si>
    <t>Escopo</t>
  </si>
  <si>
    <t>Cód_SIAGO</t>
  </si>
  <si>
    <t>OPERAÇÃO</t>
  </si>
  <si>
    <t>DESCRIÇÃO SIAGO</t>
  </si>
  <si>
    <t>DESCRIÇÃO DETALHADA</t>
  </si>
  <si>
    <t>IT</t>
  </si>
  <si>
    <t>Assunto</t>
  </si>
  <si>
    <t>Recursos padrão</t>
  </si>
  <si>
    <t>US</t>
  </si>
  <si>
    <t>C&amp;M LM</t>
  </si>
  <si>
    <t>INSTALAR</t>
  </si>
  <si>
    <t>CORTE ÁRVORE PESADA LM ÁREA URBANA</t>
  </si>
  <si>
    <t>A atividade contempla:
1 Coletar evidências, conforme padrão da Distribuidora, confirmando que se trata de árvore pesada e em área urbanizada;
2 Executar o corte da árvore (supressão vegetal) seguindo todos os procedimentos e orientações da Distribuidora;
3 Executar toda desrama/desbaste necessário para realizar a atividade;
4 Realizar todo repique necessário da vegetação;
5 Alocar o resíduo gerado deixando livre o acesso à faixa de servidão quando houver;
6 Informar ao responsável pela recolha, caso necessário.</t>
  </si>
  <si>
    <t>Nº268/2018</t>
  </si>
  <si>
    <t>Executar Corte de Árvores em Supressão de Fragmentos Florestais</t>
  </si>
  <si>
    <t>CAVA EM ROCHA COM UTILIZAÇÃO DE PYROBLAST</t>
  </si>
  <si>
    <t>A atividade contempla:
1 Preparar a perfuração da rocha;
2 Deixar a rocha aparente para dar início a marcação dos pontos de aplicação do explosivo;
3 Realizar perfurações, conferindo dimensões;
4 Manusear e preparar os explosivos e detonadores;
5 Fazer a cava conforme as dimensões utilizando o explosivo, conforme técnica apropriada e profissionais habilitados;
6 Garantir se dimensões obtidas estão adequadas;
7 Remover fragmentos.</t>
  </si>
  <si>
    <t>0845/2020?</t>
  </si>
  <si>
    <t>ESTRUTURA HTTE LM (SDMT)</t>
  </si>
  <si>
    <t>A atividade contempla:
1 Instalar as ferragens de fixação junto ao poste;
2 Instalar 4 vãos de cordoalhas interligando os postes;
3 Instalar os pinos e isoladores de pino;
4 Instalar isoladores de suspensão.</t>
  </si>
  <si>
    <t>202/2018</t>
  </si>
  <si>
    <t>Instalar Estrutura HTTE</t>
  </si>
  <si>
    <t>CORTE ÁRVORE MÉDIA LM ÁREA URBANA</t>
  </si>
  <si>
    <t>A atividade contempla:
1 Coletar evidências, conforme padrão da Distribuidora, confirmando que se trata de árvore média e em área urbanizada;
2 Executar o corte da árvore (supressão vegetal) seguindo todos os procedimentos e orientações da Distribuidora;
3 Executar toda desrama/desbaste necessário para realizar a atividade;
4 Realizar todo repique necessário da vegetação;
5 Alocar o resíduo gerado deixando livre o acesso à faixa de servidão quando houver;
6 Informar ao responsável pela recolha, caso necessário.</t>
  </si>
  <si>
    <t>ESTRUTURA DE SUSTENTAÇÃO EQUIPAMENTO (BANCADA)</t>
  </si>
  <si>
    <t>A atividade contempla:
1 Instalar estrutura de sustentação para transformador ou regulador.
Esse item somente será reconhecido se na mão de obra de instalação do equipamento não for contemplado.</t>
  </si>
  <si>
    <t>CORTE ÁRVORE LEVE LM ÁREA URBANA</t>
  </si>
  <si>
    <t>A atividade contempla:
1 Coletar evidências, conforme padrão da Distribuidora, confirmando que se trata de árvore leve e em área urbanizada;
2 Executar o corte da árvore (supressão vegetal) seguindo todos os procedimentos e orientações da Distribuidora;
3 Executar toda desrama/desbaste necessário para realizar a atividade;
4 Realizar todo repique necessário da vegetação;
5 Alocar o resíduo gerado deixando livre o acesso à faixa de servidão quando houver;
6 Informar ao responsável pela recolha, caso necessário.</t>
  </si>
  <si>
    <t>KIT INTERNO</t>
  </si>
  <si>
    <t>A atividade contempla:
1 Instalar a caixa para o disjuntor;
2 Instalar o disjuntor;
3 Instalar 3 pontos de iluminação;
4 Instalar 2 tomadas;
5 Instalar condutores.</t>
  </si>
  <si>
    <t>RETIRAR</t>
  </si>
  <si>
    <t>A atividade contempla:
1 Retirar os pinos e isoladores de pino;
2 Retirar isolador de suspensão;
2 Retirar os 4 vãos de cordoalha que interligam os postes;
3 Retirar as ferragens de fixação junto ao poste.</t>
  </si>
  <si>
    <t>RELIGADOR 3F &gt;= 34,5 KA LM (SDMT)</t>
  </si>
  <si>
    <t>A atividade contempla:
1 Instalar o suporte do religador trifásico;
2 Instalar o religador trifásico na base;
3 Ligar o religador trifásico na rede primária e no cordão umbilical do controle;
4 Instalar a antena de comunicação junto ao poste, caso necessário.</t>
  </si>
  <si>
    <t>192/2018 E 0654 - NECESSÁRIO CRIAÇÃO IT É DE SUBSTITUIÇÃO</t>
  </si>
  <si>
    <t>Substituir Reguladores de Tensão, Auto Booster, Chaves a Óleo, Remotas e Religadores em Linha de Distribuição com Equipe de Linha Morta</t>
  </si>
  <si>
    <t>ATERRAMENTO CONCRETADO 3 HASTES</t>
  </si>
  <si>
    <t xml:space="preserve">A atividade contempla:
1 Abrir cava e valeta na profundidade adequada;
2 Fazer foço de concreto;
3 Instalar hastes de aterramento;
4 Instalar cabo de aterramento (bimetálico); 
5 Fazer conexão das hastes com cabo e proteger com massa calafetadora;
6 Medir a resistência do aterramento, tendo em vista o valor máximo recomendado;
7 Fechar valeta. </t>
  </si>
  <si>
    <t>FUNDAÇÃO ESPECIAL 3 TUBULÃO</t>
  </si>
  <si>
    <t>A atividade contempla:
1 Executar abertura da cava conforme as dimensões necessárias;
2 Instalar 3 camisas, de concreto ou metálica, quando necessário;
3 Realizar alargamento da base;
4 Realizar inspeção do tubulão;
5 Concretar o tubulão.
Esse item também se aplica quando for feita a cava em solo alagadiço.</t>
  </si>
  <si>
    <t>IT - 046</t>
  </si>
  <si>
    <t>Instalar Fundação Especial Tubulão A Céu Aberto</t>
  </si>
  <si>
    <t>A atividade contempla:
1 Retirar estrutura de sustentação para transformador ou regulador.
Esse item somente será reconhecido se na mão de obra de instalação do equipamento não for contemplado.</t>
  </si>
  <si>
    <t>FUNDAÇÃO ESPECIAL 2 TUBULÃO</t>
  </si>
  <si>
    <t>A atividade contempla:
1 Executar abertura da cava conforme as dimensões necessárias;
2 Instalar 2 camisas, de concreto ou metálica, quando necessário;
3 Realizar alargamento da base;
4 Realizar inspeção do tubulão;
5 Concretar o tubulão.
Esse item também se aplica quando for feita a cava em solo alagadiço.</t>
  </si>
  <si>
    <t>CAVA SOLO MOLEDO &gt; 2m &lt;= 3m</t>
  </si>
  <si>
    <t>A atividade contempla:
1 Demarcar o local do serviço/cava;
2 Fazer a cava conforme as dimensões necessárias e de acordo com o tamanho do poste, de forma manual utilizando o equipamento adequado;
3 Conferir as medidas da cava;
4 Colocar tampa no buraco se não for utilizá-lo de imediato (apenas em locais autorizados).</t>
  </si>
  <si>
    <t>040/2018</t>
  </si>
  <si>
    <t>Abrir Cava em Rocha</t>
  </si>
  <si>
    <t>MUFLA</t>
  </si>
  <si>
    <t>A atividade contempla:
1 Preparar o cabo da mufla e aplicar o conector terminal por compressão;
2 Montar as saias da isolação e fazer a proteção contra umidade;
3 Instalar o suporte de fixação do cabo mufla na cruzeta;
4 Unir todos os terminais de aterramento e interligar ao aterramento;
5 Fazer as conexões do cabo mufla ao ponto da rede.</t>
  </si>
  <si>
    <t>257/2018</t>
  </si>
  <si>
    <t>Instalar Terminal para Média Tensão (Mufla) em Instalações Internas e Externas MT</t>
  </si>
  <si>
    <t>CAVA SOLO MOLEDO &gt; 1m &lt;= 2m</t>
  </si>
  <si>
    <t xml:space="preserve">ESTRUTURA HT LM (SDMT) </t>
  </si>
  <si>
    <t>A atividade contempla:
1 Instalar as ferragens de fixação junto aos 2 postes;
2 Instalar e fixar as extremidades das cruzetas em ambos os postes;
3 Instalar porcas olhais e isoladores bastão/suspenção.</t>
  </si>
  <si>
    <t>FUNDAÇÃO ESPECIAL 1 TUBULÃO</t>
  </si>
  <si>
    <t>A atividade contempla:
1 Executar abertura da cava conforme as dimensões necessárias;
2 Instalar camisa, de concreto ou metálica, quando necessário;
3 Realizar alargamento da base;
4 Realizar inspeção do tubulão;
5 Concretar o tubulão.
Esse item também se aplica quando for feita a cava em solo alagadiço.</t>
  </si>
  <si>
    <t>A atividade contempla:
1 Retirar a antena de comunicação junto ao poste, caso necessário;
2 Desconectar o religador trifásico da rede primária e do cordão umbilical do controle;
3 Retirar o religador trifásico do suporte;
4 Retirar o suporte do religador trifásico.</t>
  </si>
  <si>
    <t>CAVA EM ROCHA COM EQUIPAMENTO &gt; 2m &lt;= 3m</t>
  </si>
  <si>
    <t>A atividade contempla:
1 Demarcar o local do serviço/cava;
2 Fazer a cava conforme as dimensões necessárias e de acordo com o tamanho do poste, utilizando o equipamento adequado;
3 Conferir as medidas da cava;
4 Colocar tampa no buraco se não for utilizá-lo de imediato (apenas em locais autorizados).</t>
  </si>
  <si>
    <t>SECCIONAMENTO CERCA COM MOURÃO</t>
  </si>
  <si>
    <t>A atividade contempla:
1 Preparação do local onde será feito o seccionamento da cerca;
2 Seccionar a cerca, alambrado (ou outro objeto similar);
3 Abrir a cava e instalar mourão;
4 Fixar cerca no mourão;
5 Retirar os resíduos do local.</t>
  </si>
  <si>
    <t>43/2018</t>
  </si>
  <si>
    <t>Seccionar Cerca com Aterramento</t>
  </si>
  <si>
    <t>RELIGADOR 3F &lt; 34,5 kA LM (SDMT)</t>
  </si>
  <si>
    <t>ESTRUTURA HTE LM (SDMT)</t>
  </si>
  <si>
    <t>A atividade contempla:
1 Instalar as ferragens de fixação junto ao poste;
2 Instalar 2 vãos de cordoalhas interligando os postes;
3 Instalar os pinos e isoladores de pino;
4 Instalar isoladores de suspensão.</t>
  </si>
  <si>
    <t>REPARO CALCADA ESPECIAL</t>
  </si>
  <si>
    <t>A atividade contempla:
1 Preparação do local onde será feita a recomposição do piso;
2 Nivelar e compactar o terreno, se necessário;
3 Recompor o piso com a utilização de placa de concreto, concreto estampado ou revestimento;
4 Sinalizar locar para proteção pelo tempo de cura se necessário;
5 Finalizar acabamento;
6 Limpar e liberar ao tráfego.</t>
  </si>
  <si>
    <t>076/2018</t>
  </si>
  <si>
    <t>Recuperar Calçada / Passeio</t>
  </si>
  <si>
    <t>ESTRUTURA B3E POLIMÉRICA/MADEIRA/METÁLICA 3M LM (SDMT)</t>
  </si>
  <si>
    <t>A atividade contempla:
1 Equipar cruzetas;
2 Instalar no poste duas cruzetas de concreto e fixações;
2 Instalar os olhais;
3 Instalar os isoladores de suspensão;
4 Instalar pino(s) e isolador(es) de pino, caso necessário.</t>
  </si>
  <si>
    <t>DEFENSA CONCRETO ARMADO</t>
  </si>
  <si>
    <t>A atividade contempla:
1 Escavar o terreno:
2 Instalar a defensa;
3 Compactar o solo (recompor o terreno, se necessário).
Essa atividade não contempla concretagem, nem recomposição de calçada.</t>
  </si>
  <si>
    <t>0702/19</t>
  </si>
  <si>
    <t>Instalar Defensa</t>
  </si>
  <si>
    <t>CAVA EM ROCHA COM EQUIPAMENTO &gt; 1m &lt;= 2m</t>
  </si>
  <si>
    <t>CAVA SOLO NORMAL &gt; 2m &lt;= 3m</t>
  </si>
  <si>
    <t>A atividade contempla:
1 Demarcar o local do serviço/cava;
2 Fazer a cava conforme as dimensões necessárias e de acordo com o tamanho do poste, de forma manual;
3 Conferir as medidas da cava;
4 Colocar tampa no buraco se não for utilizá-lo de imediato (apenas em locais autorizados).</t>
  </si>
  <si>
    <t>045/2018</t>
  </si>
  <si>
    <t>Abrir Cava em Solo Normal</t>
  </si>
  <si>
    <t>RELIGADOR 1F &gt;= 34,5 KA LM (SDMT)</t>
  </si>
  <si>
    <t>A atividade contempla:
1 Instalar o suporte (quando houver) e base do religador monofásico;
2 Instalar o religador monofásico na base;
3 Ligar o religador monofásico na rede primária.</t>
  </si>
  <si>
    <t>005/2020</t>
  </si>
  <si>
    <t>Instalar e Retirar Religador Automático Monofásico</t>
  </si>
  <si>
    <t>A atividade contempla:
1 Retirar os pinos e isoladores de pino;
2 Retirar isolador de suspensão;
2 Retirar os 2 vãos de cordoalha que interligam os postes;
3 Retirar as ferragens de fixação junto ao poste.</t>
  </si>
  <si>
    <t>BANCO CAPACITOR LM (SDMT)</t>
  </si>
  <si>
    <t>A atividade contempla:
1 Instalar as fixações junto ao poste;
2 Instalar o suporte;
3 Instalar as células capacitiva;
4 Realizar as conexões junto à rede.
Caso não seja disponibilizado o suporte do banco, a instalação da estrutura limpa será paga na mão de obra específica.
Esse item considera até 3 células e, caso sejam instaladas mais células, será remunerada na mão de obra específica.</t>
  </si>
  <si>
    <t>ENERGISA/GTCD-IT/Nº292/2018</t>
  </si>
  <si>
    <t>Instalar Célula de Banco de Capacitor de 100, 200 ou 600 KVAr – Automático</t>
  </si>
  <si>
    <t>REGULADOR DE TENSÃO (SDMT)</t>
  </si>
  <si>
    <t>A atividade contempla:
1 Instalar suporte;
2 Instalar regulador de tensão;
3 Conectar os cabeamentos de entrada e saída da rede.</t>
  </si>
  <si>
    <t>301/2019</t>
  </si>
  <si>
    <t>A atividade contempla:
1 Retirar isoladores bastão/suspenção e porcas olhais;
2 Remover as cruzetas nos 2 postes;
3 Retirar as ferragens de fixação junto aos postes.</t>
  </si>
  <si>
    <t>ESTRUTURA P3.3 LM (SDMT)</t>
  </si>
  <si>
    <t>A atividade contempla:
1 Instalar a fixação, os pinos e os isoladores bastão e de pino.</t>
  </si>
  <si>
    <t>ESTRUTURA P4 LM (SDMT)</t>
  </si>
  <si>
    <t>133/2018</t>
  </si>
  <si>
    <t>Instalar Estrutura Tipo P3 e P4</t>
  </si>
  <si>
    <t>TRANSFORMADOR DISTRIBUIÇÃO 3F &gt; 40 KVA E &lt;= 112,5 KVA</t>
  </si>
  <si>
    <t>A atividade contempla:
1 Fixar os suportes para a instalação do equipamento;
2 Içar ao poste e instalar o equipamento;
3 Instalar as conexões do equipamento à rede primária;
4 Fazer as ligações secundárias.</t>
  </si>
  <si>
    <t>TRANSFORMADOR DISTRIBUIÇÃO 3F &lt;= 40 KVA</t>
  </si>
  <si>
    <t>TRANSFORMADOR DISTRIBUIÇÃO 3F &gt; 112,5 KVA</t>
  </si>
  <si>
    <t>CAVA SOLO NORMAL &gt; 1m &lt;= 2m</t>
  </si>
  <si>
    <t>ESTRUTURA B2E POLIMÉRICA/MADEIRA/METÁLICA 3M LM (SDMT)</t>
  </si>
  <si>
    <t>A atividade contempla:
1 Equipar cruzetas;
2 Instalar no poste duas cruzetas polimérica ou de madeira e fixações; 
3 Instalar os pinos e isoladores.</t>
  </si>
  <si>
    <t>ESTRUTURA DE SUSTENTAÇÃO EQUIPAMENTO</t>
  </si>
  <si>
    <t>A atividade contempla:
1 Instalar estrutura de sustentação para equipamento.
Esse item somente será reconhecido se na mão de obra de instalação do equipamento não for contemplado.</t>
  </si>
  <si>
    <t>ATERRAMENTO CONCRETADO 1 HASTE</t>
  </si>
  <si>
    <t xml:space="preserve">A atividade contempla:
1 Abrir cava nas dimensões adequadas;
2 Fazer foço de concreto;
3 Instalar hastes de aterramento;
4 Instalar cabo de aterramento (bimetálico); 
5 Fazer conexão da haste com cabo e proteger com massa calafetadora;
6 Medir a resistência do aterramento, tendo em vista o valor máximo recomendado. </t>
  </si>
  <si>
    <t>CAIXA POLICARBONATO REDE (CP REDE)</t>
  </si>
  <si>
    <t>A atividade contempla:
1 Instalar suporte da caixa no poste;
2 Instalar CP rede e eletrodutos no poste.
Esse item aplica-se apenas junto à substituição de poste.</t>
  </si>
  <si>
    <t>COLCHETE POR PEÇA</t>
  </si>
  <si>
    <t>A atividade contempla:
1 Capinar toda a vegetação até ficar na terra, com erradicação total de rizomas, raízes, etc.;
2 Realizar a cava no solo para instalação dos moirões, morto e travesseiro;
3 Instalar moirões, morto, travesseiro e trava;
4 Abrir vala e realizar instalação de estaiamento de subsolo;
5 Cobrir a vala e compactar o solo;
6 Fixar cerca nos moirões;
7 Instalar rabicho interligando o morto e os moirões.
Toda metragem considerada deve estar em conformidade com as normativas e procedimentos internos atualizados da Distribuidora.</t>
  </si>
  <si>
    <t>Nº042/2018</t>
  </si>
  <si>
    <t>Instalar Colchetes e PorteiraS</t>
  </si>
  <si>
    <t>REGULADOR DE TENSÃO (SDBT)</t>
  </si>
  <si>
    <t>294/2019</t>
  </si>
  <si>
    <t>Instalar Regulador de baixa tensão - RTBT</t>
  </si>
  <si>
    <t>CONEXÃO/ DESCONEXÃO GERADOR DE MT LM</t>
  </si>
  <si>
    <t>A atividade contempla:
Para conexão:
1 Identificar o faseamento previamente;
2 Instalar a cruzeta auxiliar e chaves provisórias no poste onde será feita a conexão;
3 Conectar jumper das chaves auxiliares;
4 Conectar os cabos de saída do gerador nas chaves auxiliares;
5 Fechar as chaves auxiliares;
6 Acionar o gerador.
Para desconexão:
1 Desligar o gerador;
2 Abrir as chaves auxiliares;
3 Desconectar jumper das chaves auxiliares;
4 Remover cruzeta auxiliar e chaves provisórias;
5 Desconectar cabos do gerador ao término da atividade.
Deve ser lançado um item por operação do equipamento (um item de conexão e um item de desconexão).
A disponibilidade, monitoramento e alimentação do gerador serão remunerados em mão de obra específica.
Este item não considera instalação e retirada de coberturas. Caso necessário para garantir o isolamento entre as fases, serão remuneradas por mão de obra específica.</t>
  </si>
  <si>
    <t xml:space="preserve">Antiga 210/2019 e 565/2019, </t>
  </si>
  <si>
    <t>Realizar a Instalação de Unidade Geradora e Transformadora Móvel em Linhas de Distribuição Aéreas de Baixa e Média Tensão</t>
  </si>
  <si>
    <t>CORTE ÁRVORE LM AMARRADA/TIFOR</t>
  </si>
  <si>
    <t>A atividade contempla:
1 Coletar evidências, conforme padrão da Distribuidora, confirmando que se trata de árvore com necessidade de amarração;
2 Executar o corte da árvore (supressão vegetal) seguindo todos os procedimentos e orientações da Distribuidora;
3 Executar toda desrama/desbaste necessário para realizar a atividade;
4 Executar medidas de amarrações (uso do tifor) para o correto direcionamento da queda;
5 Realizar todo repique necessário da vegetação;
6 Alocar o resíduo gerado deixando livre o acesso à faixa de servidão quando houver;
7 Informar ao responsável pela recolha, caso necessário.</t>
  </si>
  <si>
    <t>PODA PESADA LM EM ÁREA ISOLADA</t>
  </si>
  <si>
    <t>A atividade contempla: 
1 Coletar evidências, conforme padrão da Distribuidora, confirmando que se trata de poda pesada e área isolada;
2 Podar todos os galhos necessários e que causem risco a rede de distribuição;
3 Remover os galhos cortados junto aos postes, calçadas, cercas, córregos, rios, leito carroçável;
4 Empilhar galhos em local adequado, não bloqueando o transito de pedestres e veículos;
5 Informar ao responsável pela recolha, caso necessário.</t>
  </si>
  <si>
    <t>Nº265/2018</t>
  </si>
  <si>
    <t>Podar Árvores Próximas à LDBT ou LDMT</t>
  </si>
  <si>
    <t>BLINDAGEM REDE BT POR UC</t>
  </si>
  <si>
    <t>A atividade contempla:
1 Retirar ramal e medidor;
2 Retirar caixa de medição existente ou instalar trava regulável, caso não seja possível a retirada da caixa existente;
2 Fazer a blindagem com instalação da nova caixa de medição;
3 Instalar ramal e medidor;
4 Instalar o conector de derivação;
5 Blindar a rede de baixa tensão;
6 Fazer os testes de tensão no cliente.
Esse item será remunerado por cada UC relacionada à rede blindada.</t>
  </si>
  <si>
    <t>ENERGISATO/DECP-POP/Nº014/2018</t>
  </si>
  <si>
    <t>BLINDAGEM REDE BT</t>
  </si>
  <si>
    <t>MANUTENÇÃO ESTAI LM (SDMT)</t>
  </si>
  <si>
    <t>A atividade contempla:
1 Remover a cordoalha a ser substituída;
2 Instalar a nova cordoalha.</t>
  </si>
  <si>
    <t>249/2019</t>
  </si>
  <si>
    <t>Substituir Cabo de Aço e ou Alça Preformada em Estai de Cruzeta a Poste</t>
  </si>
  <si>
    <t>VESPEIRO / COLMÉIA NA REDE / ESTRUTURA LM</t>
  </si>
  <si>
    <t>A atividade contempla:
1 Paramentar a vestimenta de proteção e equipamentos de segurança específicos efetuar a remoção do vespeiro ou colmeia;
2 Transferir vespeiro ou colmeia para local adequado;
3 Efetuar a limpeza do local.</t>
  </si>
  <si>
    <t>ESTAI POSTE A POSTE LM (SDMT)</t>
  </si>
  <si>
    <t>A atividade contempla:
1 Equipar os postes com porca olhal ou olhal;
2 Fixar a cordoalha em um dos postes;
3 Instalar a catraca, guincho manual ou moitão no outro poste; 
4 Tensionar e fixar a cordoalha na porca olhal ou olhal no poste;
5 Conectar a cordoalha, quando houver existência do neutro;
6 Fazer arremate nas pontas da cordoalha.</t>
  </si>
  <si>
    <t>Antiga 166/2018, Atutal 0166</t>
  </si>
  <si>
    <t>Instalar Estai de Poste a Poste</t>
  </si>
  <si>
    <t>TESTE DE TRANSFORMADOR</t>
  </si>
  <si>
    <r>
      <t xml:space="preserve">A atividade contempla:
1 Testar e aterrar rede secundária;
2 Desconectar os condutores secundários fases dos terminais das buchas do transformador;
3 Desconectar os para-raios;
4 Retirar aterramentos temporários da rede secundária;
5 Substituir os elos fusíveis de carga do transformador por elos fusíveis de teste;
6 Comunicar o resultado do teste realizado;
7 Desconectar os grampos de linha vida (GLV) das três chaves fusíveis;
9 Retornar que o transformar está disponível para substituição.
</t>
    </r>
    <r>
      <rPr>
        <sz val="11"/>
        <color rgb="FFFF0000"/>
        <rFont val="Aptos Narrow"/>
        <family val="2"/>
        <scheme val="minor"/>
      </rPr>
      <t>Este item será reconhecido apenas para atendimentos emergenciais ou quando solicitado pela contratante.</t>
    </r>
  </si>
  <si>
    <t>ENERGISA/GTD-IT/Nº0263</t>
  </si>
  <si>
    <t> </t>
  </si>
  <si>
    <t>ATERRAMENTO 3 HASTES</t>
  </si>
  <si>
    <t>A atividade contempla:
1 Abrir cava e valeta na profundidade adequada;
2 Instalar hastes de aterramento até atingir a profundidade correta; 
3 Instalar cabo de aterramento (bimetálico); 
4 Fazer conexão das hastes com cabo e proteger com massa calafetadora;
5 Medir a resistência do aterramento, tendo em vista o valor máximo recomendado;
6 Fechar valeta.</t>
  </si>
  <si>
    <t>182/2018</t>
  </si>
  <si>
    <t xml:space="preserve">Instalar Aterramento de Equipamento </t>
  </si>
  <si>
    <t>A atividade contempla:
1 Retirar os isoladores e pinos;
2 Retirar do poste duas cruzetas polimérica ou madeira e fixações.</t>
  </si>
  <si>
    <t>A atividade contempla: 
1 Retirar os pinos e isoladores de pino e suspensão;
2 Retirar os olhais;
3 Retirar do poste duas cruzetas de 3 metros poliméricas ou de madeira e fixações.</t>
  </si>
  <si>
    <t>RELIGADOR 1F &lt; 34,5 kA LM (SDMT)</t>
  </si>
  <si>
    <t>A atividade contempla:
1 Desconectar o religador monofásico da rede primária;
2 Retirar o religador monofásico da base;
3 Retirar o suporte (quando houver) e base do religador monofásico.</t>
  </si>
  <si>
    <t>RECOLHA URBANA POR PONTO</t>
  </si>
  <si>
    <t>A atividade contempla:
1 Recolher/triturar resíduos provenientes de podas na área URBANA;
2 Reduzir tronco quando não for possível triturar utilizando moto poda / motoserra para facilitar o carregamento;
3 Realizar a recolha e o descarte em locais autorizados.
Este item é pago quando solicitado expressamente pela Distribuidora e somente quando a atividade não contempla retirada/tratamento de resíduos;</t>
  </si>
  <si>
    <t>Nº269/2018</t>
  </si>
  <si>
    <t>Executar Serviço de Roço Manual e Mecanizado</t>
  </si>
  <si>
    <t>FLYING-TAP REDE NU LM (SDMT)</t>
  </si>
  <si>
    <t>A atividade contempla:
1 Medir e cortar condutores para o fly (jumper);
2 Fazer as conexões do fly (jumper) junto à rede.
Esse item remunera a conexão de todas as fases e a conexão do neutro.</t>
  </si>
  <si>
    <t>204/2018</t>
  </si>
  <si>
    <t>Substituir e Retirar Cruzamento Aéreo Primário (FLYING-TAP)</t>
  </si>
  <si>
    <t>A atividade contempla:
1 Garantir descarregamento dos capacitores, após abertura da chave, conforme tempo indicado;
2 Realizar teste de ausência de tensão;
3 Remover as conexões da rede;
4 Retirar as células capacitivas;
5 Retirar o suporte;
6 Retirar as fixações do poste.
Caso o banco esteja instalado em estrutura limpa, a retirada da estrutura limpa será paga na mão de obra específica.
Esse item considera até 3 células e, caso sejam retiradas mais células, será remunerada na mão de obra específica.</t>
  </si>
  <si>
    <t>ENERGISA/GTD-IT/Nº360/2019</t>
  </si>
  <si>
    <t>Substituir célula de banco de capacitor de 100, 200 ou 600KVAr</t>
  </si>
  <si>
    <t>ABERTURA/FECHAMENTO REGULADOR DE TENSÃO / AUTOBOOSTER</t>
  </si>
  <si>
    <t>A atividade contempla:
Para abertura:
1 Configurar o equipamento, ajustando o TAP para posição "0" (neutrar equipamento);
2 Confirmar no display e no indicador externo que o equipamento está neutrado;
3 Acionar chave de controle para posição desligada;
4 Fechar a chave bypass;
5 Abrir chaves de entrada e saída.
Para fechamento:
1 Fechar chaves de entrada e saída;
2 Abrir chave bypass;
3 Acionar chave de controle para posição ligada;
4 Ajustar TAP de acordo com orientação da Distribuidora.
Deve ser lançado um item por operação no equipamento (um item de abertura e um item de fechamento).</t>
  </si>
  <si>
    <t>297/2018, 326/2018</t>
  </si>
  <si>
    <t>CHAVE OMNI RUPTER  &lt;= 34,5 kV LM (SDMT) POR FASE</t>
  </si>
  <si>
    <t>A atividade contempla:
1 Desconectar e retirar a chave Omni Rupter da estrutura;
2 Remover a fixação para chave Omni Rupter.</t>
  </si>
  <si>
    <t>IT/Nº362/2018</t>
  </si>
  <si>
    <t>Retirar Chave OMNI Rupter</t>
  </si>
  <si>
    <t>FUNDAÇÃO ESPECIAL CONCRETAGEM BASE</t>
  </si>
  <si>
    <t>A atividade contempla:
1 Executar concretagem do tubulão por m³.
A atividade contempla o preenchimento do tubulão após a instalação do poste.</t>
  </si>
  <si>
    <t>Instalar Fundação Especial Concreto Ciclópico</t>
  </si>
  <si>
    <t>LIGAÇÃO NOVA COM INSTALAÇÃO DE MEDIDOR</t>
  </si>
  <si>
    <t>A atividade contempla:
1 Realizar teste de dinamômetro;
2 Aplicar as mantas isolantes na rede nua/fases/luminária, se necessário;
3 Instalar ramal no pontalete;
4 Abrir caixa;
5 Instalar medidor;
6 Conectar ramal na BT;
7 Testar energia no local;
8 Fechar caixa e selar.</t>
  </si>
  <si>
    <t>666/2019</t>
  </si>
  <si>
    <t>Ligação do Fornecimento da Unidade Consumidora (Rede_Medidor)</t>
  </si>
  <si>
    <t>POSTE DE FIBRA DE VIDRO &lt;= 13M LM</t>
  </si>
  <si>
    <t>A atividade contempla:
1 Montar poste caso seja bipartido;
2 Içar poste do caminhão ou do solo;
3 Colocar poste na cava;
4 Aprumar e apiloar poste.</t>
  </si>
  <si>
    <t>132/2018/117/2018</t>
  </si>
  <si>
    <t>Instalar e Retirar Poste com Acesso a Veículo</t>
  </si>
  <si>
    <t>A atividade contempla:
1 Escavar o terreno:
2 Retirar a defensa;
3 Compactar o solo (recompor o terreno, se necessário).
Essa atividade não contempla concretagem, nem recomposição de calçada.</t>
  </si>
  <si>
    <t>846/20</t>
  </si>
  <si>
    <t>Retirar Defensa Instaladas em Estruturas de LDMT</t>
  </si>
  <si>
    <t>A atividade contempla:
1 Retirar a fixação, os pinos e os isoladores bastão e de pino.</t>
  </si>
  <si>
    <t>FLYING-TAP REDE NU LM (SDBT)</t>
  </si>
  <si>
    <t>A atividade contempla:
1 Medir e cortar condutores para o fly (jumper);
2 Realizar a amarração dos condutores neutro;
3 Fazer as conexões do fly (jumper) junto à rede.
Esse item remunera a conexão de todas as fases e a conexão do neutro.</t>
  </si>
  <si>
    <t>A atividade contempla:
1 Retirar a fixação, os pinos e os isoladores bastão e de pino</t>
  </si>
  <si>
    <t>ESTRUTURA B1E POLIMÉRICA/MADEIRA/METÁLICA 3M LM (SDMT)</t>
  </si>
  <si>
    <t>A atividade contempla:
1 Equipar cruzeta;
2 Instalar no poste uma cruzeta simples polimérica ou de madeira e fixações; 
3 Instalar os pinos e isoladores.</t>
  </si>
  <si>
    <t>POSTE METALICO LM (SDBT)</t>
  </si>
  <si>
    <t>A atividade contempla:
1 Fazer as instalações necessárias para a descida do poste;
2 Liberar base do poste
3 Retirar poste da cava
4 Realizar recomposição de solo</t>
  </si>
  <si>
    <t xml:space="preserve">IÇAMENTO / DESCIDA MANUAL DE TRANSFORMADOR </t>
  </si>
  <si>
    <t>A atividade contempla:
1 Preparar transformador e realizar as amarrações necessárias;
2 Realizar o içamento do equipamento para caso de instalação ou a descida para caso de retirada.
Esse item será aplicado para localidade sem acesso ao veículo, sendo remunerado em conjunto com a bandolagem do transformador.</t>
  </si>
  <si>
    <t>FLYING-TAP REDE MULTIPLEX LM (SDBT)</t>
  </si>
  <si>
    <t>261/2018</t>
  </si>
  <si>
    <t>Instalar Cruzamento Secundário</t>
  </si>
  <si>
    <t>ENROLAR BIG JUMPER &gt; 150m</t>
  </si>
  <si>
    <t>A atividade contempla:
1 Remover sinalização e protetores dos cabos no solo;
2 Recolher os cabos do Big jumper para o carretel.</t>
  </si>
  <si>
    <t xml:space="preserve"> 222/2018</t>
  </si>
  <si>
    <t>Utilizar o Mega Jumper em Redes Aéreas de Distribuição Energizadas</t>
  </si>
  <si>
    <t>CORTE ÁRVORE PESADA LM ÁREA RURAL</t>
  </si>
  <si>
    <t>A atividade contempla:
1 Coletar evidências, conforme padrão da Distribuidora, confirmando que se trata de árvore pesada e em área rural;
2 Executar o corte da árvore (supressão vegetal) seguindo todos os procedimentos e orientações da Distribuidora;
3 Executar toda desrama/desbaste necessário para realizar a atividade;
4 Realizar todo repique necessário da vegetação;
5 Alocar o resíduo gerado deixando livre o acesso à faixa de servidão quando houver;
6 Informar ao responsável pela recolha, caso necessário.</t>
  </si>
  <si>
    <t>ESTRUTURA B2/M2/N2/T2 CONCRETO LM (SDMT)</t>
  </si>
  <si>
    <t>A atividade contempla:
1 Equipar cruzetas;
2 Instalar no poste duas cruzetas de concreto e fixações; 
3 Instalar os pinos e isoladores.</t>
  </si>
  <si>
    <t xml:space="preserve">Antigas 134/2018; 154/2018; 155/2018, Atuais 0134, 0154 e 0155 </t>
  </si>
  <si>
    <t>Instalar Estrutura Tipo B1 e B2 / Instalar Estrutura TIPO N1 e N2 / Instalar Estrutura Tipo T1 e T2</t>
  </si>
  <si>
    <t>FLYING-TAP REDE PROTEGIDA LM (SDMT)</t>
  </si>
  <si>
    <t>A atividade contempla:
1 Medir e cortar condutores para o fly (jumper);
2 Instalar o separador vertical, se necessário;
3 Desencapar o cabo, caso necessário;
4 Fazer as conexões do fly (jumper) junto à rede;
5 Recompor o isolamento do cabo, caso necessário.
Esse item remunera a conexão de todas as fases e a conexão do neutro.</t>
  </si>
  <si>
    <t>A atividade contempla:
1 Remover CP rede e eletrodutos no poste;
2 Remover suporte da caixa no poste;
Esse item aplica-se apenas junto à substituição de poste.</t>
  </si>
  <si>
    <t>CAVA MECANIZADA SOLO NORMAL &gt; 1m &lt;= 2m</t>
  </si>
  <si>
    <t>CAVA MECANIZADA SOLO NORMAL &gt; 2m &lt;= 3m</t>
  </si>
  <si>
    <t>A atividade contempla:
1 Retirar estrutura de sustentação para equipamento.
Esse item somente será reconhecido se na mão de obra de instalação do equipamento não for contemplado.</t>
  </si>
  <si>
    <t>ESTRUTURA P3 LM (SDMT)</t>
  </si>
  <si>
    <t>A atividade contempla:
1 Instalar a fixação e o isolador bastão.</t>
  </si>
  <si>
    <t>133/208</t>
  </si>
  <si>
    <t>Instalar estrutura P3 LM (SDMT)</t>
  </si>
  <si>
    <t>SISTEMA DE MEDIÇÃO CENTRALIZADA - SMC</t>
  </si>
  <si>
    <t>A atividade contempla:
1 Instalar suporte da caixa no poste;
2 Instalar caixa de medição centralizada.
Esse item aplica-se apenas junto à substituição de poste.</t>
  </si>
  <si>
    <t>986/2023</t>
  </si>
  <si>
    <t>ESTRUTURA B2/ME2/N2/T2 POLIMÉRICA/MADEIRA LM (SDMT)</t>
  </si>
  <si>
    <t>Antigas 465/2019; 154/2018; 155/2018; Atuais 0134; 0154; 0155</t>
  </si>
  <si>
    <t>Instalar Estrutura Tipo B1E e B2E (Cruzeta de 3 Metros) / Instalar Estrutura TIPO N1 e N2 / Instalar Estrutura Tipo T1 e T2</t>
  </si>
  <si>
    <t>POSTE DE CONCRETO &gt; 13M LM</t>
  </si>
  <si>
    <t>A atividade contempla:
1 Içar poste do caminhão ou do solo;
2 Colocar poste na cava;
3 Aprumar e apiloar poste.</t>
  </si>
  <si>
    <t>ESTRUTURA TE CONCRETO LM (SDMT)</t>
  </si>
  <si>
    <t>A atividade contempla:
1 Equipar cruzetas;
2 Instalar duas cruzetas de concreto em um mesmo poste e fixações;
3 Instalar os isoladores de suspensão;
4 Instalar isolador pilar;
5 Instalar pinos de cruzeta e isoladores, caso necessário (se houver).</t>
  </si>
  <si>
    <t xml:space="preserve"> 138/2018</t>
  </si>
  <si>
    <t>Instalar Estrutura TE</t>
  </si>
  <si>
    <t>ESTRUTURA P1, PT1, PTA1 LM (SDMT)</t>
  </si>
  <si>
    <t>A atividade contempla:
1 Instalar isoladores nos pinos de fixação;
2 Instalar os pinos com isoladores no poste;
3 Realizar os apertos necessários.</t>
  </si>
  <si>
    <t>TRANSFORMADOR DISTRIBUIÇÃO 1F &gt; 20 KVA</t>
  </si>
  <si>
    <t>TRANSFORMADOR DISTRIBUIÇÃO 1F &lt;= 20 KVA</t>
  </si>
  <si>
    <t>TRANSFORMADOR DISTRIBUIÇÃO 2F &lt;= 20 KVA</t>
  </si>
  <si>
    <t>TRANSFORMADOR DISTRIBUIÇÃO 2F &gt; 20 KVA</t>
  </si>
  <si>
    <t>RECOMPOSIÇÃO DE BASE DE POSTE</t>
  </si>
  <si>
    <t>A atividade contempla:
1 Realizar recomposição do solo;
2 Apiloar poste.</t>
  </si>
  <si>
    <t>CONEXÃO/ DESCONEXÃO GERADOR DE BT LM</t>
  </si>
  <si>
    <t>A atividade contempla:
Para conexão:
1 Identificar o faseamento previamente;
2 Abrir as chaves fusíveis do transformador e caso necessário desconectar o GLV;
3 Conectar os cabos do gerador na rede de BT a ser alimentada;
4 Acionar o gerador.
Para desconexão:
1 Desconectar cabos do gerador ao término da atividade.
Deve ser lançado um item por operação do equipamento (um item de conexão e um item de desconexão).
A disponibilidade, monitoramento e alimentação do gerador serão remunerados em mão de obra específica.
Este item não considera instalação e retirada de coberturas. Caso necessário para garantir o isolamento entre as fases, serão remuneradas por mão de obra específica.</t>
  </si>
  <si>
    <t>ACEIRO POSTE C/ RECOLHA</t>
  </si>
  <si>
    <t>A atividade contempla: 
1 Fazer aceiro;
2 Capinar toda a vegetação até ficar na terra, com erradicação total de rizomas, raízes, etc.;
3 Realizar limpeza completa do solo;
4 Afastar a vegetação roçada junto aos postes, sem amontoamento, respeitando a distância mínima;
5 Tratar e remover resíduos.
Toda metragem considerada deve estar em conformidade com as normativas e procedimentos internos atualizados da Distribuidora.</t>
  </si>
  <si>
    <t>Nº106/2018</t>
  </si>
  <si>
    <t>Executar Aceiros no Pé do Poste</t>
  </si>
  <si>
    <t>ESTRUTURA B4/M4/N4/T4 CONCRETO LM (SDMT)</t>
  </si>
  <si>
    <t>A atividade contempla:
1 Equipar cruzetas;
2 Instalar duas cruzetas de concreto em um mesmo poste e fixações;
3 Instalar os olhais;
4 Instalar os isoladores de suspensão e pinos (se houver).</t>
  </si>
  <si>
    <t>Antigas 152/2018; 156/2018; 157/2018, Novas 0152, 0156 e 0157</t>
  </si>
  <si>
    <t>Instalar Estrutura TIPO B3/BE3 e B4/BE4 / Instalar Estrutura Tipo N3 e N4 / Instalar Estrutura TIPO T3 e T4</t>
  </si>
  <si>
    <t>POSTE DE CONCRETO &lt;= 13M LM</t>
  </si>
  <si>
    <t>PODA MÉDIA LM EM ÁREA ISOLADA</t>
  </si>
  <si>
    <t>A atividade contempla: 
1 Coletar evidências, conforme padrão da Distribuidora, confirmando que se trata de poda média e área isolada;
2 Podar todos os galhos necessários e que causem risco a rede de distribuição;
3 Remover os galhos cortados junto aos postes, calçadas, cercas, córregos, rios, leito carroçável;
4 Empilhar galhos em local adequado, não bloqueando o transito de pedestres e veículos;
5 Informar ao responsável pela recolha, caso necessário.</t>
  </si>
  <si>
    <t>Nº265/2018 e NDU-016/2020</t>
  </si>
  <si>
    <t>CAIXA DE MEDIÇÃO BLINDADA CMB</t>
  </si>
  <si>
    <t>A atividade contempla:
1 Instalar suporte da caixa no poste;
2 Instalar caixa de medição e eletrodutos no poste.
Esse item aplica-se apenas junto à substituição de poste.</t>
  </si>
  <si>
    <t>EMENDA AUTOMÁTICA REDE NU LM (SDMT)</t>
  </si>
  <si>
    <t>A atividade contempla:
1 Tracionar os condutores;
2 Escovar/limpar as extremidades dos condutores;
3 Aplicar emenda automática.
Obs: Aplição aérea</t>
  </si>
  <si>
    <t>180/2018 (Avaliar a IT 297/2019, incluindo a emenda automática)</t>
  </si>
  <si>
    <t>Instalar Emenda Automática</t>
  </si>
  <si>
    <t>A atividade contempla:
1 Desfazer as conexões do fly (jumper) e retirar o cabo.
Esse item remunera a conexão de todas as fases e a conexão do neutro.</t>
  </si>
  <si>
    <t>KIT PADRÃO COM POSTE AUXILIAR</t>
  </si>
  <si>
    <t>A atividade contempla:
1 Abrir cava de acordo com o padrão;
2 Colocar KIT na cava;
3 Aprumar e apiloar Kit.</t>
  </si>
  <si>
    <t>ESTRUTURA TE POLIMÉRICA/MADEIRA LM (SDMT)</t>
  </si>
  <si>
    <t>A atividade contempla:
1 Instalar ferragens de fixação;
2 Instalar as cruzetas poliméricas ou de madeira no poste;
3 Instalar os isoladores de suspensão;
4 Instalar isolador pilar;
5 Instalar pinos de cruzeta e isoladores, caso necessário (se houver).</t>
  </si>
  <si>
    <t>194/2018</t>
  </si>
  <si>
    <t>Substituir Estrutura LE para TE</t>
  </si>
  <si>
    <t>MÓDULO DE CONTROLE P/ BANCO REGULADOR/RELIGADOR</t>
  </si>
  <si>
    <t>A atividade contempla:
1 Instalar módulo de controle e o suporte de escada, se necessário;
2 Conectar o cabo de alimentação no módulo;
3 Conectar cordão umbilical entre o módulo de controle e o regulador ou religador.</t>
  </si>
  <si>
    <t>ESTAI CRUZETA A POSTE LM (SDMT)</t>
  </si>
  <si>
    <t>A atividade contempla:
1 Instalar estai temporário;
2 Desfazer a conexão da cordoalha com o neutro, na existência deste;
3 Instalar a catraca, guincho manual ou moitão no poste, para remoção da tração na cordoalha;
4 Remover a amarrações, porca olhal ou olhal e recolher a cordoalha.</t>
  </si>
  <si>
    <t>Antiga 248/2019, Atual 0602</t>
  </si>
  <si>
    <t>Retirar Estai de Cruzeta a Poste</t>
  </si>
  <si>
    <t>A atividade contempla:
1 Travar poste no guindauto;
2 Liberar base do poste;
3 Retirar poste;
4 Tapar e apiloar buracos.</t>
  </si>
  <si>
    <t>A atividade contempla:
1 Retirar as conexões do equipamento ligado à rede secundária;
2 Retirar as conexões do equipamento ligado à rede primária;
3 Retirar o equipamento;
4 Retirar as fixações do equipamento.</t>
  </si>
  <si>
    <t>A atividade contempla:
1 Retirar as conexões do equipamento ligado à rede secundária;
2 Retirar as conexões do equipamento ligado à rede primária;;
3 Retirar o equipamento;
4 Retirar as fixações do equipamento.</t>
  </si>
  <si>
    <t>ESTRUTURA B3/M3/N3/T3 CONCRETO LM (SDMT)</t>
  </si>
  <si>
    <t>Antigas 152/2018; 156/2018; 157/2018, Atuais 0152, 0156 e 0157</t>
  </si>
  <si>
    <t>APRUMO DE POSTE DE CONCRETO &gt; 13M</t>
  </si>
  <si>
    <t>A atividade contempla:
1 Posicionar o equipamento para aprumo do poste (talha, catraca, tirfor ou munck);
2 Remover parcialmente o material junto à base do poste, caso necessário;
3 Aprumar o poste;
4 Recompor o material da base do poste;
5 Remover do poste o equipamento de tracionamento.</t>
  </si>
  <si>
    <t>394/2019 - 393/2019</t>
  </si>
  <si>
    <t>Aprumar Poste com Equipamento Tirfor ou Talha</t>
  </si>
  <si>
    <t>A atividade contempla:
1 Retirar os isoladores e pinos;
2 Retirar do poste uma cruzeta simples polimérica ou madeira e fixações.</t>
  </si>
  <si>
    <t>ESTRUTURA B4E POLIMÉRICA/MADEIRA/METÁLICA 3M LM (SDMT)</t>
  </si>
  <si>
    <t>A atividade contempla:
1 Equipar cruzetas;
2 Instalar duas cruzetas poliméricas ou de madeira de 3 metros em um mesmo poste e fixações;
3 Instalar os olhais;
4 Instalar os isoladores de suspensão e pino (se houver).</t>
  </si>
  <si>
    <t>CONCRETAR BASE DE POSTE</t>
  </si>
  <si>
    <t>A atividade contempla:
1 Realizar a mistura dos materiais para a formação do concreto;
2 Envolver o poste com material plástico (lona);
3 Adicionar o concreto junto à base do poste;
4 Limpar local.</t>
  </si>
  <si>
    <t>0597/2019</t>
  </si>
  <si>
    <t>A atividade contempla:
1 Desfazer a amarração dos condutores neutro;
2 Desfazer as conexões do fly (jumper) e retirar o cabo.
Esse item remunera a conexão de todas as fases e a conexão do neutro.</t>
  </si>
  <si>
    <r>
      <t>ESTRUTURA B32/M32/N32/T32 POLIMÉRICA/MADEIRA/</t>
    </r>
    <r>
      <rPr>
        <sz val="11"/>
        <color rgb="FFFF0000"/>
        <rFont val="Aptos Narrow"/>
        <family val="2"/>
        <scheme val="minor"/>
      </rPr>
      <t>CONCRETO</t>
    </r>
    <r>
      <rPr>
        <sz val="11"/>
        <rFont val="Aptos Narrow"/>
        <family val="2"/>
        <scheme val="minor"/>
      </rPr>
      <t xml:space="preserve"> LM (SDMT)</t>
    </r>
  </si>
  <si>
    <t>A atividade contempla: 
1 Retirar os pinos e isoladores de pino e suspensão;
2 Retirar os olhais;
3 Retirar do poste duas cruzetas poliméricas ou de madeira e fixações.</t>
  </si>
  <si>
    <t>CONEXÃO/ DESCONEXÃO GERADOR DE BT LE</t>
  </si>
  <si>
    <t>A atividade contempla:
Para conexão:
1 Identificar o faseamento previamente;
2 Abrir as chaves fusíveis do transformador e caso necessário desconectar o GLV;
3 Conectar os cabos do gerador na rede de BT a ser alimentada;
4 Acionar o gerador.
Para desconexão:
1 Desconectar cabos do gerador ao término da atividade.
Deve ser lançado um item por operação do equipamento (um item de conexão e um item de desconexão).
A disponibilidade, monitoramento e alimentação do gerador serão remunerados em mão de obra específica.
Este item não considera instalação e retirada de coberturas, as quais serão remuneradas por mão de obra específica.</t>
  </si>
  <si>
    <t>ESTRUTURA B3/M3/N3/T3 POLIMÉRICA/MADEIRA LM (SDMT)</t>
  </si>
  <si>
    <t>A atividade contempla:
1 Equipar cruzetas;
2 Instalar no poste duas cruzetas e fixações;
2 Instalar os olhais;
3 Instalar os isoladores de suspensão;
4 Instalar pino(s) e isolador(es) de pino, caso necessário.</t>
  </si>
  <si>
    <t xml:space="preserve"> Instalar Estrutura TIPO B3/BE3 e B4/BE4 / Instalar Estrutura Tipo N3 e N4 / Instalar Estrutura TIPO T3 e T4</t>
  </si>
  <si>
    <t>A atividade contempla:
1 Equipar cruzeta e poste com porca olhal ou olhal;
2 Fixar a cordoalha na cruzeta;
3 Instalar a catraca, guincho manual ou moitão no poste; 
4 Tensionar e fixar a cordoalha na porca olhal ou olhal no poste;
5 Conectar a cordoalha, quando houver existência do neutro;
6 Fazer arremate nas pontas da cordoalha.</t>
  </si>
  <si>
    <t>Antiga 167/2018, Atutal 0167</t>
  </si>
  <si>
    <t>Instalar Estai de Cruzeta a Poste</t>
  </si>
  <si>
    <t>ATERRAMENTO DE CERCA</t>
  </si>
  <si>
    <t>A atividade contempla:
1 Abrir cava nas dimensões adequadas;
2 Instalar haste de aterramento; 
3 Instalar cabo de aterramento (bimetálico); 
4 Fazer conexão da haste com cabo e proteger com massa calafetadora;
5 Medir a resistência do aterramento, tendo em vista o valor máximo recomendado.</t>
  </si>
  <si>
    <t>ESTRUTURA B4/M4/N4/T4 POLIMÉRICA/MADEIRA LM (SDMT)</t>
  </si>
  <si>
    <t>A atividade contempla:
1 Equipar cruzetas;
2 Instalar duas cruzetas polimérica ou de madeira em um mesmo poste e fixações;
3 Instalar os olhais;
4 Instalar os isoladores de suspensão e pinos (se houver).</t>
  </si>
  <si>
    <t>A atividade contempla:
1 Fazer a abertura do equipamento que a mufla está interligada;
2 Desfazer a ligação do cabo mufla;
3 Retirar a mufla do suporte de fixação;
4 Retirar o suporte de fixação da mufla.</t>
  </si>
  <si>
    <t>A atividade contempla:
1 Desconectar os cabeamentos de entrada e saída da rede;
2 Retirar regulador de tensão;
3 Retirar o suporte.</t>
  </si>
  <si>
    <t>EMENDA AUTOMÁTICA REDE MULTIPLEX LM (SDBT)</t>
  </si>
  <si>
    <t>A atividade contempla:
1 Tracionar os condutores;
2 Desencapar a cobertura do cabo nas duas extremidades, caso fases;
3 Escovar/limpar as extremidades dos condutores;
4 Aplicar emenda automática, com o uso de ferramental, caso necessário;
5 Recompor o isolamento das fases.</t>
  </si>
  <si>
    <t>PODA PESADA LM EM ÁREA AGRUPADA</t>
  </si>
  <si>
    <t>A atividade contempla: 
1 Coletar evidências, conforme padrão da Distribuidora, confirmando que se trata de poda pesada e área agrupada;
2 Podar todos os galhos necessários e que causem risco a rede de distribuição;
3 Remover os galhos cortados junto aos postes, calçadas, cercas, córregos, rios, leito carroçável;
4 Empilhar galhos em local adequado, não bloqueando o transito de pedestres e veículos;
5 Informar ao responsável pela recolha, caso necessário.</t>
  </si>
  <si>
    <t>ESTAI ÂNCORA LM (SDMT)</t>
  </si>
  <si>
    <t>A atividade contempla:
1 Abrir cava com profundidade correta;
2 Instalar a haste de âncora na placa de concreto (cone) ou chapa de âncora;
3 Instalar a chapa de estai, olhal ou alça de fixação no poste;
4 Recompor e compactar o solo;
5 Fixar a cordoalha na haste de âncora e chapa de estai e fazer o seccionamento, caso necessário.</t>
  </si>
  <si>
    <t>IT - 0169 (Validar a questão do isolamento conforme a NDU 005)</t>
  </si>
  <si>
    <t>Instalar Estai de Ancora</t>
  </si>
  <si>
    <t>A atividade contempla:
1 Desfazer as conexões do fly (jumper) junto à rede;
2 Retirar o separador vertical, se necessário;
3 Recompor o isolamento do cabo, caso necessário.
Esse item remunera a conexão de todas as fases e a conexão do neutro.</t>
  </si>
  <si>
    <t>DESENROLAR BIG JUMPER &gt; 150 METROS</t>
  </si>
  <si>
    <t xml:space="preserve">A atividade contempla: 
1 Desenrolar totalmente o cabo do carretel;
2 Deixar os cabos no poste inicial e final;
3 Sinalizar e proteger os cabos no solo.
</t>
  </si>
  <si>
    <t xml:space="preserve"> 222/2018 , 701/2019, 673/2019</t>
  </si>
  <si>
    <t>A atividade contempla: 
1 Retirar os isoladores e pinos;
2 Retirar do poste as duas cruzetas de concreto e fixações.</t>
  </si>
  <si>
    <t>ENROLAR BIG JUMPER &lt;= 150m</t>
  </si>
  <si>
    <t>ESTRUTURA B1/M1/N1/T1 CONCRETO LM (SDMT)</t>
  </si>
  <si>
    <t>A atividade contempla:
1 Equipar cruzeta;
2 Instalar no poste uma cruzeta simples de concreto e fixações; 
3 Instalar os pinos e isoladores.</t>
  </si>
  <si>
    <t>Antigas 134/2018; 154/2018; 155/2018, Atuais 0154; 0134 e 0155</t>
  </si>
  <si>
    <t>Instalar Estrutura Tipo B1 e B2; Instalar Estrutura TIPO N1 e N2; Instalar Estrutura Tipo T1 e T2</t>
  </si>
  <si>
    <t>EMENDA COMPRESSÃO REDE PROTEGIDO LM (SDMT)</t>
  </si>
  <si>
    <t>A atividade contempla:
1 Tracionar os condutores;
2 Desencapar a cobertura do cabo nas duas extremidades;
3 Escovar/limpar as extremidades dos condutores;
4 Aplicar emenda a compressão.</t>
  </si>
  <si>
    <t>179/2018 (Avaliar a IT 297/2019, incluindo a emenda automática)</t>
  </si>
  <si>
    <t>Instalar Emenda a Compressão</t>
  </si>
  <si>
    <t>BALANCEAMENTO/ INVERSÃO DE FASES POR UN</t>
  </si>
  <si>
    <t>A atividade contempla:
1 Confirmar os dados da UC;
2 Desligar o disjuntor;
3 Desconectar a atual conexão de fase na BT;
4 Conectar o cabo fase do ramal na fase da BT especificada pelo estudo;
5 Abrir caixa e retirar selos;
6 Ligar o disjuntor;
7 Verificar o valor instantâneo da tensão;
8 Registrar a leitura do Medidor;
9 Fechar caixa e selar.</t>
  </si>
  <si>
    <t>319/2019</t>
  </si>
  <si>
    <t>Executar Mudança de Fase da Unidade Consumidora</t>
  </si>
  <si>
    <t>A atividade contempla:
1 Retirar o isolador bastão e a fixação do poste.</t>
  </si>
  <si>
    <t>924/2021</t>
  </si>
  <si>
    <t>Desativar estrutura P3 LM (SDMT)</t>
  </si>
  <si>
    <t>A atividade contempla:
1 Remover caixa de medição centralizada;
2 Remover suporte da caixa do poste;
Esse item aplica-se apenas junto à substituição de poste.</t>
  </si>
  <si>
    <t>CAVA PARA ESTAI COM EQUIPAMENTO LM</t>
  </si>
  <si>
    <t>A atividade contempla: 
1 Retirar os isoladores de suspensão;
2 Retirar os olhais; 
3 Retirar do poste duas cruzetas de concreto e fixações;
4 Retirar os pino(s) e isolador(es) de pino, caso necessário.</t>
  </si>
  <si>
    <t>A atividade contempla: 
1 Retirar os isoladores e pinos;
2 Retirar do poste as duas cruzetas polimérica ou de madeira e fixações.</t>
  </si>
  <si>
    <t>A atividade contempla:
1 Soltar os apertos das porcas;
2 Retirar os pinos com isoladores no poste.</t>
  </si>
  <si>
    <t>MEDIDOR 3F</t>
  </si>
  <si>
    <t>A atividade contempla:
1 Verificar a ausência de tensão no padrão de ligação;
2 Desligar o disjuntor de proteção da UC;
3 Fixar o medidor no suporte da caixa;
4 Conectar o(s) condutor(es) do medidor;
5 Verificar funcionamento;
6 Lacrar da tampa da caixa de bornes.</t>
  </si>
  <si>
    <t>318/2018</t>
  </si>
  <si>
    <t>Instalar, Retirar e Substituir Medidores de Energia em Unidades Consumidoras do Grupo B Medição Direta</t>
  </si>
  <si>
    <t>ESTRUTURA CEJ1 LM (SDMT)</t>
  </si>
  <si>
    <t>A atividade contempla:
1 Instalar ferragens de fixação;
2 Instalar o braço J e espaçador losangular.</t>
  </si>
  <si>
    <t>153/2018</t>
  </si>
  <si>
    <t>Instalar Estrutura CE1 / CE1A / CEJ1</t>
  </si>
  <si>
    <t xml:space="preserve"> Instalar Regulador de baixa tensão - RTBT.pdf</t>
  </si>
  <si>
    <t>ESTRUTURA CE2-3 LM (SDMT)</t>
  </si>
  <si>
    <t>A atividade contempla:
1 Instalar as ferragens de fixação ao poste;
2 Instalar o braço C, pinos e isoladores de pino e de bastão.</t>
  </si>
  <si>
    <t>ABERTURA/FECHAMENTO BANCO DE CAPACITOR</t>
  </si>
  <si>
    <t>A atividade contempla:
Para abertura:
1 Abrir a chave fusível/óleo;
2 Fechar a chave seccionadora junto ao aterramento, caso exista;
3 Caso não haja chave seccionadora, garantir descarregamento dos capacitores, após abertura da chave, conforme tempo indicado.
Para fechamento:
1 Abrir a chave seccionadora junto ao aterramento, caso exista;
2 Fechar chave fusível/óleo.
Deve ser lançado um item por operação do equipamento (um item de abertura e um item de fechamento).</t>
  </si>
  <si>
    <t>0711-360/2019</t>
  </si>
  <si>
    <t>ATERRAMENTO 1 HASTE</t>
  </si>
  <si>
    <t>A atividade contempla:
1 Abrir cava nas dimensões adequadas;
2 Instalar haste de aterramento até atingir a profundidade correta; 
3 Instalar cabo de aterramento (bimetálico); 
4 Fazer conexão da haste com cabo e proteger com massa calafetadora;
5 Medir a resistência do aterramento, tendo em vista o valor máximo recomendado.</t>
  </si>
  <si>
    <t>ATERRAMENTO CONCRETADO HASTE ADICIONAL</t>
  </si>
  <si>
    <t xml:space="preserve">A atividade contempla:
1 Abrir cava e valeta na profundidade adequada;
2 Fazer foço de concreto;
3 Instalar hastes de aterramento;
4 Instalar cabo de aterramento (bimetálico); 
5 Fazer conexão da hastes com cabo e proteger com massa calafetadora;
6 Medir a resistência do aterramento, tendo em vista o valor máximo recomendado;
7 Fechar valeta. </t>
  </si>
  <si>
    <t>ATERRAMENTO HASTE ADICIONAL</t>
  </si>
  <si>
    <t>A atividade contempla:
1 Abrir cava e valeta na profundidade adequada;
2 Instalar haste de aterramento adicional; 
3 Instalar cabo de aterramento (bimetálico); 
4 Fazer conexão da haste com cabo e proteger com massa calafetadora;
5 Medir a resistência do aterramento, tendo em vista o valor máximo recomendado;
6 Fechar valeta.</t>
  </si>
  <si>
    <t xml:space="preserve"> 182/2018</t>
  </si>
  <si>
    <t>instalar haste de aterramento</t>
  </si>
  <si>
    <t>A atividade contempla: 
1 Retirar os isoladores de suspensão;
2 Retirar os olhais; 
3 Retirar do poste cruzetas polimérica ou de madeira e fixações;
4 Retirar os pino(s) e isolador(es) de pino, caso necessário.</t>
  </si>
  <si>
    <t>Antiga 469/2019, Atual 0819</t>
  </si>
  <si>
    <t>Retirar Estrutura Tipo N3, M3, B3 (Cruzeta de 2,40 Metros)</t>
  </si>
  <si>
    <t>REPARO CALCADA COMUM</t>
  </si>
  <si>
    <t>A atividade contempla:
1 Preparação do local onde será feita a recomposição do piso;
2 Nivelar e compactar o terreno, se necessário;
3 Recompor o piso com a utilização de argamassa de cimento, areia grossa e pedra brita;
4 Sinalizar locar para proteção pelo tempo de cura se necessário;
5 Finalizar acabamento;
6 Limpar e liberar ao tráfego.</t>
  </si>
  <si>
    <t>INSPEÇÃO VISUAL RDU MANUT PREVENTIVA POR KM</t>
  </si>
  <si>
    <t>A atividade contempla:
1 Inspecionar visualmente o estado da rede postes e estruturas podres ou quebradas, cabos danificados, isoladores danificados, presença de árvores) para previsão de manutenção futura;
2 Elaborar relatório com as anomalias encontradas.
A atividade será reconhecida apenas solicitada quando solicitado pela distribuidora, em caso de necessidade de levantamentos para manutenções programadas na rede de distribuição urbana.</t>
  </si>
  <si>
    <t>A atividade contempla:
1 Desconectar o cordão umbilical entre o módulo de controle e o regulador ou religador;
2 Desconectar o cabo de alimentação no módulo;
3 Retirar o módulo de controle e o suporte de escada, se necessário.</t>
  </si>
  <si>
    <t>RESETAR EQUIPAMENTO</t>
  </si>
  <si>
    <t>A atividade contempla:
1 Realizar autoreset conforme procedimento do equipamento.</t>
  </si>
  <si>
    <t>EMENDA AUTOMÁTICA REDE NU LM (SDBT)</t>
  </si>
  <si>
    <t>A atividade contempla:
1 Tracionar os condutores;
2 Escovar/limpar as extremidades dos condutores;
3 Aplicar emenda automática, com o uso de ferramental, caso necessário;
Obs: Aplição aérea</t>
  </si>
  <si>
    <t>A atividade contempla:
1 Instalar a catraca, guincho manual ou moitão no poste, para remoção da tração na cordoalha;
2 Desfazer a conexão da cordoalha com o neutro, na existência deste;
3 Remover a amarrações, porca olhal ou olhal e recolher a cordoalha.</t>
  </si>
  <si>
    <t>Antiga 329/2019, Atual 0680</t>
  </si>
  <si>
    <t>Retirar Estai de Poste a Poste</t>
  </si>
  <si>
    <t>CHAVE ÓLEO &lt;= 34,5 kV LM (SDMT) POR FASE</t>
  </si>
  <si>
    <t>A atividade contempla:
1 Desconectar e retirar a chave a óleo da estrutura;
2 Remover a fixação para chave a óleo.</t>
  </si>
  <si>
    <t>ESTRUTURA B1/M1/N1/T1 POLIMÉRICA/MADEIRA LM (SDMT)</t>
  </si>
  <si>
    <t>465/2019; 154/2018; 155/2018</t>
  </si>
  <si>
    <t>MEDIDOR 1F</t>
  </si>
  <si>
    <t>MEDIDOR 2F</t>
  </si>
  <si>
    <t>DESENROLAR BIG JUMPER &lt;= 150 METROS</t>
  </si>
  <si>
    <t>A atividade contempla: 
1 Desenrolar totalmente o cabo do carretel;
2 Deixar os cabos no poste inicial e final;
3 Sinalizar e proteger os cabos no solo.</t>
  </si>
  <si>
    <t>A atividade contempla: 
1 Retirar os isoladores de suspensão e pino (se houver); 
2 Retirar do poste as duas cruzetas de concreto e fixações.</t>
  </si>
  <si>
    <t>APRUMO DE POSTE DE CONCRETO &lt;= 13M</t>
  </si>
  <si>
    <t>MOVIMENTAÇÃO CABOS TELECOM/USO MUTUO POR POSTE</t>
  </si>
  <si>
    <t>A atividade contempla:
1 Soltar os cabos de uso mútuo do poste;
2 Fixar após a substituição do poste os cabos de uso mútuo;
3 Ajustar fixação para garantir as distâncias de norma em relação ao solo.</t>
  </si>
  <si>
    <t>A atividade contempla:
1 Retirar os isoladores e pinos;
2 Retirar do poste uma cruzeta simples de concreto e fixações.</t>
  </si>
  <si>
    <t>Antigas 467/2019;032/2021, Atuais 0817;0910</t>
  </si>
  <si>
    <t>ESTRUTURA CE4 LM (SDMT)</t>
  </si>
  <si>
    <t>A atividade contempla:
1 Instalar as ferragens de fixação ao poste;
2 Instalar o braço C, pinos e isoladores de pino e de bastão;</t>
  </si>
  <si>
    <t>160/2018</t>
  </si>
  <si>
    <t>Instalar Estrutura Tipo CE4 e CE4U</t>
  </si>
  <si>
    <t>A atividade contempla:
1 Retirar os isoladores e pinos;
2 Retirar do poste cruzetas de concreto e fixações.</t>
  </si>
  <si>
    <t>CORTE DE RAMA (TREPADEIRA) S/RECOLHA EM POSTE (SDMT) POR PEÇA</t>
  </si>
  <si>
    <t>A atividade contempla:
1 Fazer o aceiro em torno do pé do poste cortado o caule da trepadeira;
2 Retirar trepadeiras nos postes na rede e nos cabos dos estais;
3 Tratar resíduos de forma adequada.</t>
  </si>
  <si>
    <t>CRIAR</t>
  </si>
  <si>
    <t>PROLONGADOR LM (SDMT)</t>
  </si>
  <si>
    <t>A atividade contempla:
1 Instalar o prolongador.</t>
  </si>
  <si>
    <t>A atividade contempla:
1 Remover caixa de medição e eletrodutos no poste;
2 Remover suporte da caixa no poste.
Esse item aplica-se apenas junto à substituição de poste.</t>
  </si>
  <si>
    <t>CORTE ÁRVORE MÉDIA LM ÁREA RURAL</t>
  </si>
  <si>
    <t>A atividade contempla:
1 Coletar evidências, conforme padrão da Distribuidora, confirmando que se trata de árvore média e em área rural;
2 Executar o corte da árvore (supressão vegetal) seguindo todos os procedimentos e orientações da Distribuidora;
3 Executar toda desrama/desbaste necessário para realizar a atividade;
4 Realizar todo repique necessário da vegetação;
5 Alocar o resíduo gerado deixando livre o acesso à faixa de servidão quando houver;
6 Informar ao responsável pela recolha, caso necessário.</t>
  </si>
  <si>
    <t>LUMINÁRIA COMPLETA &gt; 1,50 M (SDBT)</t>
  </si>
  <si>
    <t>A atividade contempla:
1 Instalar a fixação no poste;
2 Instalar na fixação, a luminária completa (braço, luminária, lâmpada e reator);
3 Realizar as conexões junto à rede.</t>
  </si>
  <si>
    <t>EMENDA COMPRESSÃO REDE NU LM (SDMT)</t>
  </si>
  <si>
    <t>A atividade contempla:
1 Tracionar os condutores;
2 Escovar/limpar as extremidades dos condutores;
3 Aplicar emenda a compressão.</t>
  </si>
  <si>
    <t>PARA-RAIO POLIMÉRICO LM (SDMT)</t>
  </si>
  <si>
    <t>A atividade contempla:
1 Instalar suporte do pára-raios;
2 Fixar o pára-raios no suporte;
3 Instalar o jumper conectando ao cabo fase da LDMT;
4 Conectar e fixar o cabo de aterramento e o jumper ao pára-raios.</t>
  </si>
  <si>
    <t>576/2019</t>
  </si>
  <si>
    <t>Instalar, Retirar ou Substituir para Raios de LDMT</t>
  </si>
  <si>
    <t>INSPEÇÃO TÉCNICA EM REDE DE TELECOM/INTERNET</t>
  </si>
  <si>
    <t>A atividade contempla:
1 Inspecionar redes telecom/internet com equipamento adequado (câmera ou binóculo); 
2 Medir altura das redes com altímetro;
3 Fazer relatório com empresas presentes.
Esse item será remunerado por poste inspecionado.</t>
  </si>
  <si>
    <t>ESTAI CRUZETA A CRUZETA LM (SDMT)</t>
  </si>
  <si>
    <t>A atividade contempla:
1 Equipar as estruturas com porcas olhal ou olhal e sapatilhas no parafuso passante;
2 Instalar a cordoalha;
3 Tracionar cordoalha;
4 Fazer arremate nas pontas da cordoalha.</t>
  </si>
  <si>
    <t>168/2018</t>
  </si>
  <si>
    <t>Instalar Estai de Cruzeta a Cruzeta</t>
  </si>
  <si>
    <t>A atividade contempla:
1 Instalar estai temporário, caso necessário;
2 Tracionar e liberar a cordoalha;
3 Remover das estruturas com porcas olhal ou olhal e sapatilhas no parafuso passante.</t>
  </si>
  <si>
    <t>CÉLULA CAPACITIVA LM (SDMT)</t>
  </si>
  <si>
    <t>A atividade contempla:
1 Instalar a célula capacitiva no suporte ou cruzeta;
2 Realizar as conexões junto à rede.</t>
  </si>
  <si>
    <t>ATERRAMENTO HASTE ADICIONAL ROSQUEÁVEL</t>
  </si>
  <si>
    <t xml:space="preserve">A atividade contempla:
1 Instalar haste de aterramento adicional rosqueável; 
2 Instalar cabo de aterramento (bimetálico); 
3 Fazer conexão da haste com cabo e proteger com massa calafetadora;
4 Medir a resistência do aterramento, tendo em vista o valor máximo recomendado;
5 Fechar valeta. </t>
  </si>
  <si>
    <t>APRUMO DE POSTE DE FIBRA DE VIDRO &lt;= 13M</t>
  </si>
  <si>
    <t>Antiga 468/2019, Atual 0818</t>
  </si>
  <si>
    <t>Retirar Estrutura Tipo N2, M2, B2 (Cruzeta de 2,40 Metros)_R1</t>
  </si>
  <si>
    <t>TRANSFORMADOR DE POTENCIA (TP) DE REDE LM (SDMT)</t>
  </si>
  <si>
    <t>A atividade contempla:
1 Fixar os suportes para a instalação do equipamento;
2 Instalar o equipamento;
3 Instalar as conexões do equipamento à rede primária;
4 Fazer as ligações secundárias.</t>
  </si>
  <si>
    <t>161/2019</t>
  </si>
  <si>
    <t>Substituir TC ou TP em Medição Indireta</t>
  </si>
  <si>
    <t>MEDIÇÃO DE ATERRAMENTO</t>
  </si>
  <si>
    <r>
      <t xml:space="preserve">A atividade contempla:
1 Abrir vala quando necessário;
2 Instalar terrômetro ou conectar ponta de prova no cabo de aterramento;
3 Medir a resistência do aterramento, tendo em vista o valor máximo recomendado;
4 Fechar a vala quando necessário.
</t>
    </r>
    <r>
      <rPr>
        <sz val="11"/>
        <color rgb="FFFF0000"/>
        <rFont val="Aptos Narrow"/>
        <family val="2"/>
        <scheme val="minor"/>
      </rPr>
      <t xml:space="preserve">Este item será reconhecido apenas quando solicitado pelo contratante. Não sendo pago em duplicidade com as atividades que já contemplam o item. </t>
    </r>
  </si>
  <si>
    <t>183/2018</t>
  </si>
  <si>
    <t>Medir Resistência de Aterramento em Estruturas e Equipamentos Instalados na LDBT_LDMT</t>
  </si>
  <si>
    <t xml:space="preserve">ESTRUTURA CE2/ CE2H LM (SDMT) </t>
  </si>
  <si>
    <t>A atividade contempla:
1 Instalar as ferragens de fixação ao poste;
2 Instalar o braço C, pinos e isoladores de pino.</t>
  </si>
  <si>
    <t>159/2018</t>
  </si>
  <si>
    <t>Instalar Estrutura Tipo CE2, CE2H e CEJ2</t>
  </si>
  <si>
    <t>ESTRUTURA CE3 LM (SDMT)</t>
  </si>
  <si>
    <t>A atividade contempla:
1 Instalar as ferragens de fixação ao poste;
2 Instalar o braço C e cantoneira;
3 Instalar porca olhal, isoladores de bastão e pinos/isoladores (se houver).</t>
  </si>
  <si>
    <t>158/2018</t>
  </si>
  <si>
    <t>Instalar Estrutura tipo CE3 e CE3U</t>
  </si>
  <si>
    <t>ESTRUTURA CE1A LM (SDMT)</t>
  </si>
  <si>
    <t>A atividade contempla:
1 Instalar ferragens de fixações;
2 Instalar o braço L, estribo, braço anti-balanço ou isolador de suspensão e espaçador losangular.</t>
  </si>
  <si>
    <t>CRUZETA LIMPA CONCRETO 2N/2M/2B LM</t>
  </si>
  <si>
    <t>A atividade contempla:
1 Instalar no poste as fixações e as duas cruzetas de concreto.</t>
  </si>
  <si>
    <t>PARA-RAIO POLIMÉRICO LM (SDBT)</t>
  </si>
  <si>
    <t>A atividade contempla:
1 Instalar o pára-raios no cabo da baixa tensão ou no cabo da saída dos bornes de baixa tensão do transformador;
2 Instalar o jumper conectando ao cabo fase da LDBT;
3 Conectar e fixar o cabo de aterramento/neutro e o jumper ao pára-raios;
4 Conectar o pára-raios à rede.</t>
  </si>
  <si>
    <t>Instalar, Retirar ou Substituir para Raios de LDBT</t>
  </si>
  <si>
    <t>APRUMO DE POSTE DE MADEIRA &gt; 13M</t>
  </si>
  <si>
    <t>AFASTADOR LE (SDBT)</t>
  </si>
  <si>
    <t>A atividade contempla:
1 Verificar se todos os pontos estão com coberturas necessárias;
2 Instalar a fixação junto ao poste;
3 Instalar os afastador.
Este item não considera instalação e retirada de coberturas, as quais serão remuneradas por mão de obra específica.</t>
  </si>
  <si>
    <t>POSTE DE MADEIRA &lt;= 13M LM</t>
  </si>
  <si>
    <t>CORTE DE RAMA (TREPADEIRA) S/RECOLHA EM POSTE (SDBT) POR PEÇA</t>
  </si>
  <si>
    <t>EMENDA PREFORMADA REDE NU LM (SDBT)</t>
  </si>
  <si>
    <t>A atividade contempla:
1 Tencionar os condutores; 
2 Escovar/limpar as extremidades dos condutores;
3 Aplicar emenda pré-formada unindo os condutores.</t>
  </si>
  <si>
    <t>(Avaliar a IT 297/2019, incluindo a emenda automática)</t>
  </si>
  <si>
    <t>EMENDA PREFORMADA REDE NU LM (SDMT)</t>
  </si>
  <si>
    <t>CRUZETA LIMPA POLIMÉRICA/MADEIRA 2N/2M/2B/2BE LM</t>
  </si>
  <si>
    <t>A atividade contempla:
1 Instalar no poste as fixações e as duas cruzetas polimérica ou de madeira.</t>
  </si>
  <si>
    <t>A atividade contempla:
1 Remover do poste as fixações e as duas cruzetas de concreto.</t>
  </si>
  <si>
    <t>INSPEÇÃO INSTRUMENTAL EQUIPAMENTO (SDMT)</t>
  </si>
  <si>
    <t>A atividade contempla:
1 Inspecionar condutores com auxilio de termovisor;
2 Inspecionar Jumper com auxilio de termovisor;
3 Inspecionar conexões com auxilio de termovisor;
4 Inspecionar a estrutura do equipamento com auxilio de termovisor;
5 Inspecionar o equipamento com auxilio de termovisor:
6 Realizar o relatório com as anomalias encontradas.
Atividade a ser remunerada quando a distribuidora solicitar inspeção com termovisão em equipamentos e já contempla a inspeção visual preliminarmente.</t>
  </si>
  <si>
    <t>INSPEÇÃO VISUAL ESTRUTURA (SDMT)</t>
  </si>
  <si>
    <t>A atividade contempla:
1 Inspecionar a estrutura completa (poste, estrutura, cabos, conexões, para raios e chaves);
2 Elaborar relatório com as anomalias encontradas.
Atividade utilizada para atendimento de reclamações e casos pontuais solicitados pela distribuidora, não cumulativa com outras atividades de inspeção.</t>
  </si>
  <si>
    <t>286/2018; 287/2018; 288/2018; 289/2018; 290/2018</t>
  </si>
  <si>
    <t>A atividade contempla: 
1 Retirar os isoladores de suspensão e pino (se houver); 
2 Retirar do poste as duas cruzetas poliméricas ou madeira e fixações.</t>
  </si>
  <si>
    <t>PODA MÉDIA LM EM ÁREA AGRUPADA</t>
  </si>
  <si>
    <t>A atividade contempla: 
1 Coletar evidências, conforme padrão da Distribuidora, confirmando que se trata de poda média e área agrupada;
2 Podar todos os galhos necessários e que causem risco a rede de distribuição;
3 Remover os galhos cortados junto aos postes, calçadas, cercas, córregos, rios, leito carroçável;
4 Empilhar galhos em local adequado, não bloqueando o transito de pedestres e veículos;
5 Informar ao responsável pela recolha, caso necessário.</t>
  </si>
  <si>
    <t>ESTRUTURA U4 LM (SDMT)</t>
  </si>
  <si>
    <t>A atividade contempla:
1 Instalar os isoladores de suspensão (bastão polimérico, ou disco porcelana, ou disco de vidro) e o de pino (pilar, hitop de vidro, hitop de porcelana ou polimérico);
2 Apertar fixações da estrutura.</t>
  </si>
  <si>
    <t>235/2018</t>
  </si>
  <si>
    <t>Instalar Estrutura U4</t>
  </si>
  <si>
    <t>A atividade contempla: 
1 Retirar os isoladores de suspensão e pinos (se houver); 
2 Retirar do poste as duas cruzetas poliméricas ou de madeira e fixações.</t>
  </si>
  <si>
    <t>CONJUNTO DE PROTEÇÃO SECUNDÁRIA 3F</t>
  </si>
  <si>
    <t>A atividade contempla:
1 Instalar a caixa junto ao poste;
2 Instalar o disjuntor na caixa;
4 Conectar os cabos de entrada e saída no disjuntor;
5 Testar a tensão;
6 Verificar fornecimento de energia;
7 Fechar e lacrar caixa.</t>
  </si>
  <si>
    <t>DISJUNTOR PARA PROTEÇÃO SECUNDARIA 3F</t>
  </si>
  <si>
    <t>A atividade contempla:
1 Instalar o disjuntor na caixa;
2 Conectar os cabos de entrada e saída no disjuntor;
3 Fechar a caixa.
Essa atividade não contempla a instalação da caixa.</t>
  </si>
  <si>
    <t>786/2019</t>
  </si>
  <si>
    <t>Substituir Disjuntor de BT em medição Direta</t>
  </si>
  <si>
    <t>AFASTADOR LM (SDBT)</t>
  </si>
  <si>
    <t>A atividade contempla:
1 Instalar a fixação junto ao poste;
2 Instalar afastador.</t>
  </si>
  <si>
    <t>CRUZETA LIMPA CONCRETO 1N/1M/1B LM</t>
  </si>
  <si>
    <t>A atividade contempla:
1 Instalar no poste as fixações e uma cruzeta de concreto simples.</t>
  </si>
  <si>
    <t>A atividade contempla:
1 Retirar o braço J e espaçador losangular;
2 Retirar as ferragens de fixação.</t>
  </si>
  <si>
    <t>A atividade contempla:
1 Retirar o braço C, pinos e isoladores de pino e de bastão;
2 Retirar as ferragens de fixação.</t>
  </si>
  <si>
    <t>906/2021</t>
  </si>
  <si>
    <t>RETIRAR ESTRUTURA CE2-3 15kV LM (SDMT)</t>
  </si>
  <si>
    <t>ACEIRO POSTE S/ RECOLHA</t>
  </si>
  <si>
    <t>A atividade contempla: 
1 Fazer aceiro com pelo menos 2m, tendo como centro o poste;
2 Capinar toda a vegetação até ficar na terra, com erradicação total de rizomas, raízes, etc.;
3 Afastar a vegetação roçada junto aos postes, sem amontoamento, respeitando a distância mínima.
Toda metragem considerada deve estar em conformidade com as normativas e procedimentos internos atualizados da Distribuidora.</t>
  </si>
  <si>
    <t>LUMINÁRIA COMPLETA &lt; 1,50 M (SDBT)</t>
  </si>
  <si>
    <t>ALÇA &gt; 2/0 LE (SDBT)</t>
  </si>
  <si>
    <t>A atividade contempla:
1 Verificar se todos os pontos estão com coberturas necessárias;
2 Tracionar o condutor/cordoalha;
3 Instalar a alça no ponto de ancoragem;
4 Instalar a alça no condutor/cordoalha;
5 Liberar a tração do condutor/cordoalha.
Este item não considera instalação e retirada de coberturas, as quais serão remuneradas por mão de obra específica.</t>
  </si>
  <si>
    <t>031/2019</t>
  </si>
  <si>
    <t>Retencionar e Nivelar Condutor de BT com LV</t>
  </si>
  <si>
    <t>INSPEÇÃO VISUAL RDR MANUT PREVENTIVA POR KM</t>
  </si>
  <si>
    <t>A atividade contempla:
1 Inspecionar visualmente o estado da rede (postes e estruturas podres ou quebradas, cabos danificados, isoladores danificados, presença de árvores) para previsão de manutenção futura;
2 Elaborar relatório com as anomalias encontradas.
A atividade será reconhecida apenas solicitada quando solicitado pela distribuidora, em caso de necessidade de levantamentos para manutenções programadas na rede de distribuição rural.</t>
  </si>
  <si>
    <t>CRUZETA LIMPA POLIMÉRICA/MADEIRA 1N/1M/1B/1BE LM</t>
  </si>
  <si>
    <t xml:space="preserve">A atividade contempla:
1 Instalar no poste as fixações e uma cruzeta polimérica ou de madeira simples.
</t>
  </si>
  <si>
    <t xml:space="preserve">A atividade contempla:
1 Remover do poste as fixações e as duas cruzetas polimérica ou de madeira.
</t>
  </si>
  <si>
    <t>CONECTOR CUNHA LE (SDBT)</t>
  </si>
  <si>
    <t>A atividade contempla:
1 Verificar se todos os pontos estão com coberturas necessárias;
2 Decapar o cabo, caso necessário;
3 Instalar o conector nos cabos;
4 Realizar a instalação, utilizando o ferramental adequado.
Este item não considera instalação e retirada de coberturas, as quais serão remuneradas por mão de obra específica.</t>
  </si>
  <si>
    <t>053/2020</t>
  </si>
  <si>
    <t>Instalar Conector tipo Cunha com LV</t>
  </si>
  <si>
    <t>CORTE BAMBU LM C/ RECOLHA POR M²</t>
  </si>
  <si>
    <t>A atividade contempla: 
1 Realizar o registro fotográfico antes da execução do serviço;
2 Proceder ao corte de bambu e espécies similares;
3 Remover os bambus cortados junto aos postes, cercas, córregos, rios, leito carroçável e caminhos de acesso ;
4 Empilhar os bambus em local adequado;
5 Triturar galhos cortados;
6 Tratar e remover resíduos para o local de descarte.</t>
  </si>
  <si>
    <t>Cote de Bambus</t>
  </si>
  <si>
    <t>PODA LEVE LM EM ÁREA ISOLADA</t>
  </si>
  <si>
    <t>A atividade contempla: 
1 Coletar evidências, conforme padrão da Distribuidora, confirmando que se trata de poda leve e área isolada;
2 Podar todos os galhos necessários e que causem risco a rede de distribuição;
3 Remover os galhos cortados junto aos postes, calçadas, cercas, córregos, rios, leito carroçável;
4 Empilhar galhos em local adequado, não bloqueando o transito de pedestres e veículos;
5 Informar ao responsável pela recolha, caso necessário.</t>
  </si>
  <si>
    <t>ALÇA &lt;= 2/0 LE (SDBT)</t>
  </si>
  <si>
    <t>ESTRUTURA CEJ2 LM (SDMT)</t>
  </si>
  <si>
    <t>A atividade contempla:
1 Instalar ferragens de fixação;
2 Instalar o braço J, pinos e isoladores.</t>
  </si>
  <si>
    <t>ESTRUTURA CE3U LM (SDMT)</t>
  </si>
  <si>
    <t>A atividade contempla:
1 Instalar as ferragens de fixação ao poste;
2 Instalar o braço U e cantoneira;
3 Instalar porca olhal, isoladores de bastão e pinos/isoladores (se houver).</t>
  </si>
  <si>
    <t>GLV LM POR UN</t>
  </si>
  <si>
    <t>A atividade contempla:
1 Acoplar o GLV no bastão pega tudo, se necessário;
2 Instalar GLV no estribo.</t>
  </si>
  <si>
    <t>312/2019</t>
  </si>
  <si>
    <t>NUMEROS OPERATIVOS</t>
  </si>
  <si>
    <t>A atividade contempla:
1 Preparar a placa de identificação (montagem dos dígitos), se necessário;
2 Fixar a placa no poste.</t>
  </si>
  <si>
    <t>311/2019</t>
  </si>
  <si>
    <t>CHAVE FACA  &lt; 34,5 kV LM (SDMT) POR FASE</t>
  </si>
  <si>
    <t>A atividade contempla:
1 Instalar o suporte inclinado ou fixação para chave faca;
2 Fixar a chave faca na estrutura e conectar junto aos terminais.</t>
  </si>
  <si>
    <t>028/2020</t>
  </si>
  <si>
    <t>Trocar Chave Seccionadora Tipo Faca</t>
  </si>
  <si>
    <t>A atividade contempla:
1 Retirar o braço C, pinos e isoladores de pino e de bastão;
2 Retiras as ferragens de fixação.</t>
  </si>
  <si>
    <t>CHAVE BYPASS MANUAL &lt;= 34,5 kV LM (SDMT) POR FASE</t>
  </si>
  <si>
    <t>A atividade contempla:
1 Instalar o suporte para fixação da chave bypass;
2 Instalar a chave bypass e conectar na rede.</t>
  </si>
  <si>
    <t>ILUMINAÇÃO PÚBLICA CAIXA DE COMANDO (SDBT)</t>
  </si>
  <si>
    <t>A atividade contempla:
1 Instalar a fixação no poste;
2 Instalar a caixa de comando na fixação do poste;
3 Realizar as conexões junto à rede.
Esse item não será reconhecido de forma individualizada quando for feita a instalação/retirada de luminária completa, devendo ser remunerado através da mão de obra específica.</t>
  </si>
  <si>
    <t>IT - 0321</t>
  </si>
  <si>
    <t>A atividade contempla:
1 Verificar a ausência de tensão no padrão de ligação
2 Desligar o disjuntor de proteção da UC;
3 Abrir caixa de medição;
4 Verificar a ausência de tensão nos condutor(es);
5 Desconectar os condutores do medidor;
6 Retirar o medidor do suporte de fixação da caixa de medição;
7 Recolocar a tampa da caixa do medidor e fechar;
8 Caso o medidor seja retirado para aferição, realizar o devido acondicionamento, conforme exigências legais</t>
  </si>
  <si>
    <t>INSPEÇÃO VISUAL EQUIPAMENTO (SDMT)</t>
  </si>
  <si>
    <t>A atividade contempla:
1 Inspecionar a estrutura do equipamento;
2 Inspecionar visualmente o equipamento (corrosão, vazamentos, trincas na isolação, vedação);
3 Inspecionar todas as conexões;
4 Elaborar relatório com as anomalias encontradas.
Atividade utilizada para atendimento de reclamações e casos pontuais solicitados pela distribuidora, não cumulativa com outras atividades de inspeção.</t>
  </si>
  <si>
    <t>Inspecionar preventiva e visualmente banco de capacitor_R1,
Inspecionar prevent e visualmente banco reguladores tensao_R1
Inspecionar preventiva e visualmente chave unipolar faca-fusivel_R1
Inspecionar preventiva e visualmente religador_R1
Inspecionar preventiva e visualmente transformador_R1</t>
  </si>
  <si>
    <t>A atividade contempla:
1 Desconectar o cabo de aterramento e o jumper do pára-raios;
2 Retirar o pára-raios;
3 Retirar o suporte de pára-raios; 
4 Prender o jumper da fase no próprio cabo da LDMT;
5 Prender o jumper do aterramento no próprio poste ou em alguma ferragem da estrutura ou ao neutro da rede.</t>
  </si>
  <si>
    <t>ABERTURA/FECHAMENTO CHAVE OMNI RUPTER POR FASE</t>
  </si>
  <si>
    <t>A atividade contempla: 
1 Montar a vara de manobra; 
2 Acionar a chave, utilizando a vara de manobra.
Deve ser lançado um item por operação de chave (um item de abertura e um item de fechamento).</t>
  </si>
  <si>
    <t>064/2019</t>
  </si>
  <si>
    <t>Realizar Abertura de Chave Tripolar com Extinção de Arco Elétrico na Média Tensão</t>
  </si>
  <si>
    <t>DESTRANÇAR CONDUTOR LM (SDMT)</t>
  </si>
  <si>
    <t>A atividade contempla:
1 Verificar condições dos postes; estruturas e condutor;
2 Destrançar condutor;
3 Desfazer ancoragem do condutor;
4 Desinstalar amarrações;
5 Tensionar condutor;
6 Colocar corda sobre a rede para orientação de nivelamento dos condutores;
7 Fazer ancoragem do condutor;
8 Instalar amarrações;
9 Repetir operação para os condutores das fases laterais.</t>
  </si>
  <si>
    <t>CHAVE SECCIONALIZADORA LM (SDMT)</t>
  </si>
  <si>
    <t>A atividade contempla:
1 Instalar o suporte para fixação da chave seccionalizadora;
2 Instalar a chave seccionalizadora e conectar na rede.</t>
  </si>
  <si>
    <t>INSPEÇÃO INSTRUMENTAL ESTRUTURA (SDMT)</t>
  </si>
  <si>
    <t>A atividade contempla:
1 Inspecionar isoladores com auxílio de termovisor;
2 Inspecionar jumpers com auxílio de termovisor;
3 Inspecionar para-raios(quando houver) com auxílio de termovisor;
4 Inspecionar chaves (quando houver) com auxílio de termovisor;
5 Inspecionar conexões com auxílio de termovisor;
6 Inspecionar estais(quando houver) com auxílio de termovisor;
7 Elaborar relatório com as anomalias encontradas.
Atividade a ser remunerada quando a distribuidora solicitar inspeção com termovisão em estrutura e já contempla a inspeção visual preliminarmente.</t>
  </si>
  <si>
    <t>ESTRUTURA U2 LM (SDMT)</t>
  </si>
  <si>
    <t>A atividade contempla:
1 Instalar os pinos (topo ou suporte para pilar + pino curto);
2 Instalar os isoladores (pilar ou polimérico ou hitop de porcelana ou vidro ou multicorpo)
3 Apertar fixações da estrutura.</t>
  </si>
  <si>
    <t>233/2018</t>
  </si>
  <si>
    <t>Instalar Estrutura U1 e U2</t>
  </si>
  <si>
    <t>A atividade contempla:
1 Desconectar os cabos de entrada e saída do disjuntor;
2 Remover o disjuntor da caixa;
3 Retirar a caixa do poste.</t>
  </si>
  <si>
    <t>ABERTURA/FECHAMENTO CHAVE ÓLEO POR FASE</t>
  </si>
  <si>
    <t>324/2018</t>
  </si>
  <si>
    <t>Realizar Manobras de Equipamentos Chave a Óleo Tripolar</t>
  </si>
  <si>
    <t>ARMAÇÃO SECUNDARIA DE 4 ESTRIBOS LM (SDBT)</t>
  </si>
  <si>
    <t>A atividade contempla:
1 Fixar a armação de 4 estribos no poste;
2 Instalar os isoladores roldana na armação.</t>
  </si>
  <si>
    <t>ARMAÇÃO SECUNDARIA DE 4 ESTRIBOS LE (SDBT)</t>
  </si>
  <si>
    <t>A atividade contempla:
1 Verificar se todos os pontos estão com coberturas necessárias;
2 Fixar a armação de 4 estribos no poste;
3 Instalar os isoladores roldana na armação.
Este item não considera instalação e retirada de coberturas, as quais serão remuneradas por mão de obra específica.</t>
  </si>
  <si>
    <t>A atividade contempla:
1 Desconectar os cabos de entrada e saída do disjuntor;
2 Remover o disjuntor da caixa.</t>
  </si>
  <si>
    <t>436/2019</t>
  </si>
  <si>
    <t>BLOQUEIO/DESBLOQUEIO - RELIGADOR</t>
  </si>
  <si>
    <t>A atividade contempla:
1 Identificar equipamentos a serem manobrados;
2 Verificar condições da estrutura do equipamento;
3 Verificar aterramento de todas as partes metálicas e do equipamento;
4 Abrir a tampa do cubículo;
5 Observar painel e verificar se o controle está remoto ou local, comunicando ao COI;
6 Acionar bloqueio/desbloqueio de religamento direto no painel de controle.
Esse item é pago por cada operação, sendo que o bloqueio e desbloqueio serão dois lançamentos da atividade.</t>
  </si>
  <si>
    <t>331/2018</t>
  </si>
  <si>
    <t xml:space="preserve">Realizar Manobras em Equipamentos
Religadores </t>
  </si>
  <si>
    <t>A atividade contempla:
1 Retirar as conexões primarias dos equipamentos;
2 Retirar as conexões secundarias dos equipamentos;
3 Retirar o equipamento;
4 Retirar suporte de fixação do equipamento;
5 Retirar a placa de numeração do equipamento.</t>
  </si>
  <si>
    <t>IT N°0516
ENERGISA/GTCD-IT/Nº161/2019</t>
  </si>
  <si>
    <t>Instrução Técnica – Nº0516
Substituir TC ou TP em Medição Indireta</t>
  </si>
  <si>
    <t>CHAVE FUSIVEL &lt;= 34,5 kV LM (SDMT) POR FASE</t>
  </si>
  <si>
    <t>A atividade contempla:
1 Instalar o suporte para fixação da chave;
2 Instalar a chave fusível e conectar na rede.</t>
  </si>
  <si>
    <t>043/2020, nova 865/2020</t>
  </si>
  <si>
    <t>Instalar Chave Fusível Monopolar em Linha Morta</t>
  </si>
  <si>
    <t>A atividade contempla:
1 Retirar o braço C, pinos e isoladores de pino;
2 Retirar as ferragens de fixação.</t>
  </si>
  <si>
    <t>A atividade contempla:
1 Retirar porca olhal, isoladores de bastão e pinos/isoladores (se houver); 
2 Retirar o braço C e cantoneira;
3 Retirar as ferragens de fixação.</t>
  </si>
  <si>
    <t>A atividade contempla:
1 Retirar o braço L, estribo, braço anti-balanço ou isolador de suspensão e espaçador losangular;
2 Retirar as ferragens de fixação.</t>
  </si>
  <si>
    <t>ILUMINAÇÃO PÚBLICA RELE FOTO CELULA</t>
  </si>
  <si>
    <t>A atividade contempla:
1 Instalar a fixação no poste;
2 Instalar o relé fotocélula na fixação do poste;
3 Realizar as conexões junto à rede.</t>
  </si>
  <si>
    <t>RETENCIONAMENTO CABOS TELECOM/USO MUTUO POR POSTE</t>
  </si>
  <si>
    <t>A atividade contempla:
1 Soltar os cabos para liberação do poste;
2 Reposicionar e fixar os cabos junto ao poste.</t>
  </si>
  <si>
    <t>MEDIÇÃO DE GRANDEZAS ELÉTRICAS EM TRANSFORMADOR TRIFÁSICO</t>
  </si>
  <si>
    <t>A atividade contempla:
1 Realizar a medição instantânea de tensão de corrente.</t>
  </si>
  <si>
    <t>REVISAR A 034/2020?</t>
  </si>
  <si>
    <t>PERFURAÇÃO POÇO POR M</t>
  </si>
  <si>
    <t>A atividade contempla:
1 Demarcar no solo o ponto de abertura do poço;
2 Efetuar a abertura do poço utilizando equipamento manual ou perfuratriz;
3 Efetuar o acabamento das dimensões da cava, com ferramentas manuais (tipo cavadeiras, enxadão etc.).</t>
  </si>
  <si>
    <t>A atividade contempla:
1 Desconectar o cabo de aterramento e o jumper do pára-raios;
2 Retirar o pára-raios;
3 Recompor isolamento do condutor quando necessário.
4 Prender o jumper do aterramento no próprio poste ou em alguma ferragem da estrutura.</t>
  </si>
  <si>
    <t>DESTRANÇAR CONDUTOR LM (SDBT)</t>
  </si>
  <si>
    <t>A atividade contempla:
1 Verificar condições dos postes; estruturas e condutor;
2 Destrançar condutor;
3 Retirar alça de encabeçamento;
4 Tensionar condutor;
5 Encabeçar condutor;
6 Retencionar os demais condutores nivelando em relação ao primeiro da estrutura.</t>
  </si>
  <si>
    <t>A atividade contempla:
1 Retirar o prolongador.</t>
  </si>
  <si>
    <t>A atividade contempla:
1 Verificar se todos os pontos estão com coberturas necessárias;
2 Retirar a fixação do poste;
3 Retirar o afastador.
Este item não considera instalação e retirada de coberturas, as quais serão remuneradas por mão de obra específica.</t>
  </si>
  <si>
    <t>RECOLHA POR ÁRVORE ÁREA URBANA</t>
  </si>
  <si>
    <t>A atividade contempla:
1 Recolher/triturar resíduos provenientes de podas na área urbana;
2 Reduzir tronco quando não for possível triturar utilizando moto poda / motoserra para facilitar o carregamento;
3 Realizar a recolha e o descarte em locais autorizados.
Este item é pago quando a recolha é realizada juntamente a realização da poda da árvore LEVE ou MÉDIA e é remunerado por cada árvore em que houve a execução do serviço.</t>
  </si>
  <si>
    <t>ESTRUTURA CE1 LM (SDMT)</t>
  </si>
  <si>
    <t>A atividade contempla:
1 Instalar ferragens de fixações;
2 Instalar o braço L, estribo e espaçador losangular.</t>
  </si>
  <si>
    <t>A atividade contempla:
1 Tencionar os condutores; 
2 Retirar emenda pré-formada do condutor.</t>
  </si>
  <si>
    <t>297/2019 (Avaliar a IT 297/2019, incluindo a emenda automática)</t>
  </si>
  <si>
    <t>Substituir Emendas Pré-formadas em Linha de Distribuição da Média Tensão – LDMT</t>
  </si>
  <si>
    <t>OBJETO ESTRANHO NA ESTRUTURA LM</t>
  </si>
  <si>
    <t>A atividade contempla:
1 Identificar o tipo de objeto a ser retirado;
2 Preparar equipamentos necessários;
3 Retirar objeto na estrutura/poste;
4 Em caso de objeto/equipamento de terceiros, entregar à Distribuidora para devolução se houver reclamação.</t>
  </si>
  <si>
    <t>CONECTOR CUNHA LM (SDBT)</t>
  </si>
  <si>
    <t>A atividade contempla:
1 Decapar o cabo, caso necessário;
2 Instalar o conector nos cabos;
3 Realizar a instalação, utilizando o ferramental adequado;</t>
  </si>
  <si>
    <t>177/2018</t>
  </si>
  <si>
    <t>Instalar Conector Tipo Cunha</t>
  </si>
  <si>
    <t>CONECTOR CUNHA LM (SDMT)</t>
  </si>
  <si>
    <t>A atividade contempla:
1 Decapar o cabo, caso necessário;
2 Instalar o conector nos cabos;
3 Realizar a instalação, utilizando o ferramental adequado.</t>
  </si>
  <si>
    <t>A atividade contempla:
1 Retirar os isoladores de suspensão (bastão polimérico, ou disco porcelana, ou disco de vidro) e o de pino (pilar, hitop de vidro, hitop de porcelana ou polimérico).</t>
  </si>
  <si>
    <t>CONJUNTO DE PROTEÇÃO SECUNDÁRIA 1F</t>
  </si>
  <si>
    <t>INSPEÇÃO DE TRANFORMADOR DE CORRENTE E POTENCIA (TP/TC) (SDMT)</t>
  </si>
  <si>
    <t>A atividade contempla:
1 Inspecionar a estrutura do equipamento;
2 Inspecionar visualmente o TC/TP (corrosão, vazamentos, trincas na isolação, vedação);
3 Inspecionar todas as conexões;
4 Elaboração de relatório com as anomalias encontradas.</t>
  </si>
  <si>
    <t>PADRÃO BIFÁSICO</t>
  </si>
  <si>
    <t>A atividade contempla:
1 Instalar padrão bifásico;
2 Instalar eletrodutos;
3 Instalar cabos de entrada e saída.</t>
  </si>
  <si>
    <t>PADRÃO MONOFÁSICO</t>
  </si>
  <si>
    <t>A atividade contempla:
1 Instalar padrão monofásico completo;
2 Instalar eletrodutos;
3 Instalar cabos de entrada e saída.</t>
  </si>
  <si>
    <t>PADRÃO TRIFÁSICO</t>
  </si>
  <si>
    <t>A atividade contempla:
1 Instalar padrão trifásico completo;
2 Instalar eletrodutos;
3 Instalar cabos de entrada e saída.</t>
  </si>
  <si>
    <t>NIVELAMENTO DE CRUZETA LM</t>
  </si>
  <si>
    <t>A atividade contempla:
1 Afrouxar os parafusos ou cintas de fixação da cruzeta;
2 Nivelar cruzeta;
3 Reapertar os parafusos.
Essa atividade contempla apenas correção de cruzetas já instaladas.</t>
  </si>
  <si>
    <t>241/2019</t>
  </si>
  <si>
    <t>DISJUNTOR PARA PROTEÇÃO SECUNDARIA 1F</t>
  </si>
  <si>
    <t>A atividade contempla:
1 Garantir descarregamento dos capacitores, após abertura da chave, conforme tempo indicado;
2 Desconectar a célula da rede;
3 Retirar a célula capacitiva no suporte.</t>
  </si>
  <si>
    <t>EMENDA AUTOMÁTICA LM (SDBT)</t>
  </si>
  <si>
    <t xml:space="preserve">A atividade contempla:
1 Escovar/limpar as extremidades dos condutores;
2 Aplicar emenda automática, com o uso de ferramental, caso necessário;
OBS: Aplicaçao ao solo
</t>
  </si>
  <si>
    <t>INSPEÇÃO REGULADOR TENSÃO (SDMT)</t>
  </si>
  <si>
    <t>A atividade contempla:
1 Inspecionar a estrutura dos reguladores;
2 Inspecionar visualmente os reguladores (corrosão, vazamentos, trincas na isolação, vedação);
3 Inspecionar jumpers;
4 Inspecionar todas as conexões.
5 Elaborar relatório com as anomalias encontradas.</t>
  </si>
  <si>
    <t>646/2019</t>
  </si>
  <si>
    <t>Inspecionar Preventiva e Visualmente Banco de Reguladores de Tensão</t>
  </si>
  <si>
    <t>VISITA IMPRODUTIVA - SEM ATUAÇÃO</t>
  </si>
  <si>
    <t>A atividade contempla: 
1 Evidenciar com fotos o motivo da visita improdutiva no retorno da Ordem de Serviço;
2 Detalhar o motivo da visita improdutiva na observação da Ordem de serviço;
3 Enviar todas as evidências indicadas pela Distribuidora.
Este item é pago em casos em que a equipe se desloca ao local programado, mas é impossibilitada de executar a atividade por causas adversas à equipe.
As situações em que a Distribuidora reconhece como passíveis de pagamento estão indicadas na base do contrato. Ainda, o pagamento é sujeito à aprovação da Distribuidora e deverá ter a situação justificada e comprovada de acordo com a normativa estabelecida pela mesma.</t>
  </si>
  <si>
    <t>FECHAMENTO JUMPER EM REDE COMPACTA LM (SDMT) POR FASE</t>
  </si>
  <si>
    <t> A atividade contempla:
1 Soltar e remover isolamento das extremidades dos condutores quando necessário. 
2 Fechar jumper instalando conector adequado;
3 Isolar a conexão.</t>
  </si>
  <si>
    <t>CONECTOR CHAPA/CABO/ESTRANGULAR LM (SDMT)</t>
  </si>
  <si>
    <t>A atividade contempla:
1 Desencapar o cabo se necessário:
1 Instalar conector chapa no equipamento e apertar;
2 Inserir o cabo no conector e apertar.</t>
  </si>
  <si>
    <t>GRAMPO ANCORAGEM LM (SDMT)</t>
  </si>
  <si>
    <t>A atividade contempla:
1 Tracionar o condutor da rede;
2 Fixar condutor no grampo de ancoragem;
3 Conectar o conjunto, grampo e condutor, na estrutura;
4 Liberar tração do condutor.</t>
  </si>
  <si>
    <t>171/2018</t>
  </si>
  <si>
    <t>Instalar Grampo de Ancoragem ou Alça PréFormada nos Condutores em Estrutura Tipo Ancoragem</t>
  </si>
  <si>
    <t>A atividade contempla:
1 Retirar a fixação do poste;
2 Retirar o afastador.</t>
  </si>
  <si>
    <t>A atividade contempla:
1 Soltar a cordoalha da chapa de estai, olhal ou alça de fixação e da haste de estai;
2 Remover a cordoalha da chapa de estai, olhal ou alça de fixação;
3 Remover a haste de âncora</t>
  </si>
  <si>
    <t>FECHAMENTO JUMPER EM REDE NUA LM (SDMT) POR FASE</t>
  </si>
  <si>
    <t>A atividade contempla:
1 Instalar Bypass;
2 Fechar jumper instalando conector adequado;
3 Remover bypass.</t>
  </si>
  <si>
    <t>IT - 0700</t>
  </si>
  <si>
    <t>CORTE ÁRVORE LEVE LM ÁREA RURAL</t>
  </si>
  <si>
    <t>A atividade contempla:
1 Coletar evidências, conforme padrão da Distribuidora, confirmando que se trata de árvore leve e em área rural;
2 Executar o corte da árvore (supressão vegetal) seguindo todos os procedimentos e orientações da Distribuidora;
3 Executar toda desrama/desbaste necessário para realizar a atividade;
4 Realizar todo repique necessário da vegetação;
5 Alocar o resíduo gerado deixando livre o acesso à faixa de servidão quando houver;
6 Informar ao responsável pela recolha, caso necessário.</t>
  </si>
  <si>
    <t>PINO COM ISOLADOR HITOP PORCELANA/VIDRO LM (SDMT)</t>
  </si>
  <si>
    <t>A atividade contempla:
1 Instalar pino com isolador hitop/vidro.
2 Fazer aperto das porcas.
Esse item será aplicado apenas quando a atividade ocorrer de forma isolada, não sendo somado quando ocorrer instalação/retirada de estrutura.</t>
  </si>
  <si>
    <t>314/2018</t>
  </si>
  <si>
    <t>Substituir Isoladores de Pino em Linha de Distribuição da Média Tensão</t>
  </si>
  <si>
    <t>ALÇA &lt;= 2/0 LM (SDBT)</t>
  </si>
  <si>
    <t>A atividade contempla:
1 Tracionar o condutor/cordoalha
2 Remover totalmente a alça do condutor/cordoalha
3 Desinstalar a alça no ponto de ancoragem;
4 Liberar a tração do condutor/cordoalha em caso de desativação da rede.</t>
  </si>
  <si>
    <t>Instalar Grampo de Ancoragem ou Alça Pré-formada nos Condutores em Estrutura Tipo Ancoragem</t>
  </si>
  <si>
    <t>A atividade contempla:
1 Retirar a placa de identificação do poste.</t>
  </si>
  <si>
    <t>A atividade contempla:
1 Verificar se todos os pontos estão com coberturas necessárias;
2 Tracionar o condutor/cordoalha;
3 Remover totalmente a alça do condutor/cordoalha;
4 Desinstalar a alça no ponto de ancoragem;
5 Liberar a tração do condutor/cordoalha em caso de desativação da rede.
Este item não considera instalação e retirada de coberturas, as quais serão remuneradas por mão de obra específica.</t>
  </si>
  <si>
    <t>REGULAGEM CHAVE FUSÍVEL/ FACA LM POR UN</t>
  </si>
  <si>
    <t>A atividade contempla:
1 Regular o posicionamento da chave fusível ou faca na estrutura;
2 Limpar, lubrificar, regular e testar o acionamento da chave faca ou fusível.</t>
  </si>
  <si>
    <t>ARMAÇÃO SECUNDARIA DE 3 ESTRIBOS LM (SDBT)</t>
  </si>
  <si>
    <t>A atividade contempla:
1 Fixar a armação de 3 estribos no poste;
2 Instalar os isoladores roldana na armação.</t>
  </si>
  <si>
    <t>ARMAÇÃO SECUNDARIA DE 3 ESTRIBOS LE (SDBT)</t>
  </si>
  <si>
    <t>A atividade contempla:
1 Verificar se todos os pontos estão com coberturas necessárias;
2 Fixar a armação de 3 estribos no poste;
3 Instalar os isoladores roldana na armação.
Este item não considera instalação e retirada de coberturas, as quais serão remuneradas por mão de obra específica.</t>
  </si>
  <si>
    <t>PODA LEVE LM EM ÁREA AGRUPADA</t>
  </si>
  <si>
    <t>A atividade contempla: 
1 Coletar evidências, conforme padrão da Distribuidora, confirmando que se trata de poda leve e área agrupada;
2 Podar todos os galhos necessários e que causem risco a rede de distribuição;
3 Remover os galhos cortados junto aos postes, calçadas, cercas, córregos, rios, leito carroçável;
4 Empilhar galhos em local adequado, não bloqueando o transito de pedestres e veículos;
5 Informar ao responsável pela recolha, caso necessário.</t>
  </si>
  <si>
    <t>CONECTOR PERFURANTE LE (SDBT)</t>
  </si>
  <si>
    <t>A atividade contempla:
1 Verificar se todos os pontos estão com coberturas necessárias;
2 Realizar a instalação do conector, utilizando o ferramental adequado.
Este item não considera instalação e retirada de coberturas, as quais serão remuneradas por mão de obra específica.</t>
  </si>
  <si>
    <t>A atividade contempla:
1 Desfazer as conexões junto à rede.
2 Remover a luminária completa (braço, luminária, lâmpada e reator) da fixação no poste;
3 Retirar a fixação do poste.</t>
  </si>
  <si>
    <t>CONECTOR PERFURANTE LM (SDMT)</t>
  </si>
  <si>
    <t>A atividade contempla:
1 Instalar o conector nos cabos;
2 Realizar a instalação, utilizando o ferramental adequado.</t>
  </si>
  <si>
    <t>CONECTOR COMPRESSÃO LM (SDMT)</t>
  </si>
  <si>
    <t>A atividade contempla:
1 Decapar o cabo, caso necessário;
2 Instalar o conector nos cabos;
3 Realizar a compressão, utilizando o ferramental adequado.</t>
  </si>
  <si>
    <t>178/2018</t>
  </si>
  <si>
    <t>Instalar Conector Tipo Terminal a Compressão e Terminal de Estrangulamento</t>
  </si>
  <si>
    <t>EMENDA COMPRESSÃO REDE NU LM (SDBT)</t>
  </si>
  <si>
    <t xml:space="preserve">A atividade contempla:
1 Retirar o braço J, pinos e isoladores;
2 Retirar as ferragens de fixação;
</t>
  </si>
  <si>
    <t>A atividade contempla:
1 Retirar porca olhal, isoladores de bastão e pinos/isoladores (se houver); 
2 Retirar o braço U e cantoneira;
3 Retirar as ferragens de fixação.</t>
  </si>
  <si>
    <t>A atividade contempla:
1 Acoplar o bastão pega tudo no GLV, se necessário;
2 Retirar o GLV do estribo.</t>
  </si>
  <si>
    <t>CORTE BAMBU LM S/ RECOLHA POR M²</t>
  </si>
  <si>
    <t>A atividade contempla:
1 Realizar o registro fotográfico antes da execução do serviço;
2 Proceder ao corte de bambu e espécies similares;
3 Remover os bambus cortados junto aos postes, cercas, córregos, rios, leito carroçável e caminhos de acesso;
4 Empilhar os bambus em local adequado fora da faixa de servidão.</t>
  </si>
  <si>
    <t xml:space="preserve">A atividade contempla:
1 Tracionar o condutor/cordoalha;
2 Instalar a alça no ponto de ancoragem;
3 Instalar a alça no condutor/cordoalha;
4 Liberar a tração do condutor/cordoalha. </t>
  </si>
  <si>
    <t>ALÇA &gt; 2/0 LM (SDBT)</t>
  </si>
  <si>
    <t>A atividade contempla:
1 Desconectar e retirar a chave bypass da estrutura;
2 Remover a fixação para chave bypass.</t>
  </si>
  <si>
    <t>A atividade contempla:
1 Remover do poste as fixações e a cruzeta de concreto simples.</t>
  </si>
  <si>
    <t>AJUSTE TAP TRANSFORMADOR (SDMT)</t>
  </si>
  <si>
    <t>A atividade contempla:
1 Observar as condições climatológicas necessárias e a iluminação local (para transformadores com comutador interno);
2 Abrir tampa de proteção e liberar trava;
3 Executar mudança de TAP;
4 Realizar checagem do transformador e das suas condições;
5 Fechar/ recolocar tampa.</t>
  </si>
  <si>
    <t>037/2018</t>
  </si>
  <si>
    <t>ESTRUTURA U1 LM (SDMT)</t>
  </si>
  <si>
    <t>A atividade contempla:
1 Instalar o pino (topo ou suporte para pilar + pino curto);
2 Instalar o isolador (pilar ou polimérico ou hitop de porcelana ou vidro ou multicorpo);
3 Apertar fixações da estrutura.</t>
  </si>
  <si>
    <t xml:space="preserve">A atividade contempla:
1 Remover o conector;
2 Recompor o isolamento do cabo, caso necessário.
</t>
  </si>
  <si>
    <t>572/2019</t>
  </si>
  <si>
    <t>Substituir Conector tipo Cunha</t>
  </si>
  <si>
    <t>ESTRUTURA SECUNDÁRIA ISOLADA BI7 E BI8 (SDBT)</t>
  </si>
  <si>
    <t>A atividade contempla: 
1 Instalar as ferragens de fixação;
2 Instalar porca olhal + manilhas no poste para estruturas BI8;
3 Instalar porca olhal + manilhas e suporte de BT no poste para estruturas BI7.</t>
  </si>
  <si>
    <t>ESTRUTURA SECUNDÁRIA ISOLADA BI 9 (SDBT)</t>
  </si>
  <si>
    <t>A atividade contempla: 
1 Instalar ferragens de fixação;
2 Instalar porca olhal + manilhas no poste.</t>
  </si>
  <si>
    <t>ESTRUTURA SECUNDÁRIA ISOLADA BI3, BI4, BI5, BI6 (SDBT)</t>
  </si>
  <si>
    <t>A atividade contempla:
1 Instalar ferragens de fixação;
2 Instalar porca olhal + manilhas no poste para estruturas BI3, BI4;
3 Instalar porca olhal + manilhas e suporte de BT no poste para estruturas BI7, BI6.</t>
  </si>
  <si>
    <t>REAPERTO CONECTOR LM</t>
  </si>
  <si>
    <t>A atividade contempla:
1 Reapertar conector chapa/cabo.
Este item não é pago em conjunto com a instalação de equipamentos.</t>
  </si>
  <si>
    <t>ISOLADOR PILAR POLIMERICO &lt;= 34,5kV LM (SDMT)</t>
  </si>
  <si>
    <t>A atividade contempla:
1 Instalar isolador pilar polimérico.
Esse item será aplicado apenas quando a atividade ocorrer de forma isolada, não sendo somado quando ocorrer instalação/retirada de estrutura.</t>
  </si>
  <si>
    <t>A atividade contempla: 
1 Desfazer as conexões junto à rede.
2 Retirar a caixa de comando da fixação do poste;
3 Retirar a fixação do poste.
Esse item não será reconhecido de forma individualizada quando for feita a instalação/retirada de luminária completa, devendo ser remunerado através da mão de obra específica.</t>
  </si>
  <si>
    <t>CONECTOR PERFURANTE LM (SDBT)</t>
  </si>
  <si>
    <t>A atividade contempla:
1 Instalar o conector nos cabos;
2 Realizar a instalação, utilizando o ferramental adequado;</t>
  </si>
  <si>
    <t>181/2018</t>
  </si>
  <si>
    <t>Instalar Conector Perfuração</t>
  </si>
  <si>
    <t>AMARRAÇÃO CONDUTOR NO ISOLADOR LE (SDBT)</t>
  </si>
  <si>
    <t>A atividade contempla:
1 Verificar se todos os pontos estão com coberturas apropriadas;
2 Confirmar tipo e tamanho do isolador, bitola do condutor
3 Instalar a amarração (fio ou laço).
Este item não considera instalação e retirada de coberturas, as quais serão remuneradas por mão de obra específica.</t>
  </si>
  <si>
    <t>A atividade contempla:
1 Soltar as conexões e retirar a chave faca da estrutura;
2 Remover o suporte inclinado ou fixação para chave faca.</t>
  </si>
  <si>
    <t>ESTRIBO LM POR UN</t>
  </si>
  <si>
    <t>A atividade contempla:
1 Desencapar o cabo, caso necessário;
2 Limpar o condutor;
3 Instalar o estribo com o conector adequado;
4 Recompor a isolação do cabo, caso necessário.</t>
  </si>
  <si>
    <t>223/2019</t>
  </si>
  <si>
    <t xml:space="preserve">A atividade contempla:
1 Remover do poste as fixações e a cruzeta polimérica ou de madeira simples.
</t>
  </si>
  <si>
    <t>INSPEÇÃO VISUAL RDR EMERGENCIAL POR KM</t>
  </si>
  <si>
    <t>A atividade contempla:
1 Inspecionar visualmente o estado da rede (postes e estruturas quebradas, cabos rompidos, isoladores danificados, presença de árvores) para localização de defeito;
2 Elaborar relatório com as anomalias encontradas.
A atividade é reconhecida apenas em casos onde a rede de distribuição esteja fora de operação por motivos desconhecidos. Acionamentos imediatos da equipe pela distribuidora.</t>
  </si>
  <si>
    <t>CHAVE FUSIVEL RELIGADORA &lt;= 34,5 kV LM (SDMT) POR FASE</t>
  </si>
  <si>
    <t>A atividade contempla:
1 Instalar o suporte para fixação da chave fusível religadora;
2 Instalar a chave fusível religadora e conectar na rede.</t>
  </si>
  <si>
    <t>Antiga 044/2020, Atual 0886</t>
  </si>
  <si>
    <t>Instalar Chave Fusível Religadora Monopolar em Linha Morta</t>
  </si>
  <si>
    <t>FECHAMENTO JUMPER EM REDE NUA LM (SDBT) POR FASE</t>
  </si>
  <si>
    <t>ALÇA &gt; 2/0 LM (SDMT)</t>
  </si>
  <si>
    <t>A atividade contempla:
1 Tracionar o condutor/cordoalha;
2 Instalar a alça no ponto de ancoragem;
3 Instalar a alça no condutor/cordoalha;
4 Liberar a tração do condutor/cordoalha.</t>
  </si>
  <si>
    <t>ALÇA &lt;= 2/0 LM (SDMT)</t>
  </si>
  <si>
    <t>A atividade contempla:
1 Desconectar e retirar a chave seccionalizadora da estrutura;
2 Remover a fixação para chave seccionalizadora.</t>
  </si>
  <si>
    <t>A atividade contempla:
1 Retirar os isoladores (pilar ou polimérico ou hitop de porcelana ou vidro ou multicorpo);
2 Retirar os pinos (topo ou suporte para pilar + pino curto).</t>
  </si>
  <si>
    <t>A atividade contempla:
1 Remover os isoladores roldana da armação;
2 Remover a armação de 4 estribos do poste.</t>
  </si>
  <si>
    <t>A atividade contempla:
1 Verificar se todos os pontos estão com coberturas necessárias;
2 Remover os isoladores roldana da armação;
3 Remover a armação de 4 estribos do poste.
Este item não considera instalação e retirada de coberturas, as quais serão remuneradas por mão de obra específica.</t>
  </si>
  <si>
    <t xml:space="preserve">A atividade contempla:
1 Realizar a remoção do conector, utilizando o ferramental adequado;
2 Recompor o isolamento do cabo, caso necessário.
 </t>
  </si>
  <si>
    <t>OBJETO ESTRANHO NA REDE LM</t>
  </si>
  <si>
    <t>A atividade contempla:
1 Verificar as condições do condutor (tentos rompidos, cabo recozido por aquecimento, cabo marcado por curto circuito);
2 Identificar o tipo de objeto a ser retirado;
3 Preparar equipamentos necessários;
4 Retirar objeto;
5 Observar condições do condutor.</t>
  </si>
  <si>
    <t>Retirar Objeto Estranho na Rede – Poste</t>
  </si>
  <si>
    <t>ISOLADOR BASTÃO POLIMERICO &lt;= 34,5kV LM (SDMT)</t>
  </si>
  <si>
    <t>A atividade contempla:
1 Instalar sistema de tracionamento no poste/estrutura, caso necessário;
2 Instalar isolador bastão polimérico; 
3 Tracionar o condutor fixando ao isolador bastão polimérico.
4 Remover o sistema de tracionamento no poste/estrutura, caso necessário;
Esse item será aplicado apenas quando a atividade ocorrer de forma isolada, não sendo somado quando ocorrer instalação/retirada de estrutura.</t>
  </si>
  <si>
    <t>308/2019</t>
  </si>
  <si>
    <t>Substituir Isolador Tipo Ancoragem</t>
  </si>
  <si>
    <t>AMARRAÇÃO CONDUTOR NO ISOLADOR LM (SDMT)</t>
  </si>
  <si>
    <t>A atividade contempla:
1 Confirmar tipo e tamanho do isolador, bitola do condutor;
2 Instalar a amarração (fio ou laço).</t>
  </si>
  <si>
    <t>170/2018</t>
  </si>
  <si>
    <t>Instalar Amarração Pino de Topo</t>
  </si>
  <si>
    <t>ABERTURA/FECHAMENTO GLV LM</t>
  </si>
  <si>
    <t>A atividade contempla:
1 Acoplar o grampo de linha viva no bastão pega tudo;
2 Instalar ou retirar o grampo de linha viva no estribo.
Deve ser lançado um item por operação (um item de abertura e um item de fechamento).</t>
  </si>
  <si>
    <r>
      <t xml:space="preserve">FECHAMENTO JUMPER EM REDE </t>
    </r>
    <r>
      <rPr>
        <strike/>
        <sz val="11"/>
        <color rgb="FFFF0000"/>
        <rFont val="Aptos Narrow"/>
        <family val="2"/>
        <scheme val="minor"/>
      </rPr>
      <t>NUA</t>
    </r>
    <r>
      <rPr>
        <sz val="11"/>
        <rFont val="Aptos Narrow"/>
        <family val="2"/>
        <scheme val="minor"/>
      </rPr>
      <t xml:space="preserve"> LE (SDBT) POR FASE</t>
    </r>
  </si>
  <si>
    <t>A atividade contempla:
1 Verificar se todos os pontos estão com coberturas necessárias;
2 Instalar Bypass;
3 Fechar jumper instalando conector adequado;
4 Remover bypass.
Este item não considera instalação e retirada de coberturas, as quais serão remuneradas por mão de obra específica.</t>
  </si>
  <si>
    <t>026/2019</t>
  </si>
  <si>
    <t>Substituir e Remover Jumper de BT com Rede Energizada</t>
  </si>
  <si>
    <t>ISOLADOR PILAR PORCELANA &lt;= 34,5kV LM (SDMT)</t>
  </si>
  <si>
    <t>A atividade contempla:
1 Instalar isolador pilar porcelana.
Esse item será aplicado apenas quando a atividade ocorrer de forma isolada, não sendo somado quando ocorrer instalação/retirada de estrutura.</t>
  </si>
  <si>
    <t>A atividade contempla: 
1 Desfazer as conexões junto à rede.
2 Retirar o relé fotocélula da fixação do poste;
3 Retirar a fixação do poste.</t>
  </si>
  <si>
    <t>CONECTOR AMPACTINHO</t>
  </si>
  <si>
    <t xml:space="preserve">A atividade contempla:
1 Decapar o condutor quando necessário;
2 Instalar o conector no condutor;
3 Apertar o conector nos condutores. </t>
  </si>
  <si>
    <t>Antiga 177/2019; Atual 0177</t>
  </si>
  <si>
    <t>RECOLHA RURAL POR M²</t>
  </si>
  <si>
    <t>A atividade contempla:
1 Recolher/triturar resíduos provenientes de podas na área RURAL;
2 Reduzir tronco quando não for possível triturar utilizando moto poda / motoserra para facilitar o carregamento;
3 Realizar a recolha e o descarte em locais autorizados.
Este item é pago quando solicitado expressamente pela Distribuidora e somente quando a atividade não contempla retirada/tratamento de resíduos;</t>
  </si>
  <si>
    <t>RABICHO DE LIGAÇÃO LM (SDBT) POR UN</t>
  </si>
  <si>
    <t>A atividade contempla:
1 Confirmar tipo e especificações do conector a ser instalado;
2 Separar as fases do condutor utilizando cunha de madeira ou de polietileno;
3 Instalar o conector entre a rede e o rabicho;
4 Aplicar o isolamento dos condutores necessários.</t>
  </si>
  <si>
    <t>RABICHO DE LIGAÇÃO LE (SDBT) POR UN</t>
  </si>
  <si>
    <t>A atividade contempla:
1 Verificar se todos os pontos estão com coberturas necessárias;
2 Confirmar tipo e especificações do conector a ser instalado;
3 Separar as fases do condutor utilizando cunha de madeira ou de polietileno;
4 Instalar o conector entre a rede e o rabicho;
5 Aplicar o isolamento dos condutores necessários.
Este item não considera instalação e retirada de coberturas, as quais serão remuneradas por mão de obra específica.</t>
  </si>
  <si>
    <t>Aproveitar parte da 181</t>
  </si>
  <si>
    <t>RECOLHA POR ÁRVORE ÁREA RURAL</t>
  </si>
  <si>
    <t>A atividade contempla:
1 Recolher/triturar resíduos provenientes de podas na área RURAL;
2 Reduzir tronco quando não for possível triturar utilizando moto poda / motoserra para facilitar o carregamento;
3 Realizar a recolha e o descarte em locais autorizados.
Este item é pago quando a recolha é realizada juntamente a realização da poda da árvore LEVE ou MÉDIA e é remunerado por cada árvore em que houve a execução do serviço.</t>
  </si>
  <si>
    <t>A atividade contempla:
1 Retirar o braço L, estribo e espaçador losangular;
2 Retirar as ferragens de fixação.</t>
  </si>
  <si>
    <t>A atividade contempla:
1 Verificar se todos os pontos estão com coberturas necessárias;
2 Realizar a remoção do conector, utilizando o ferramental adequado;
3 Recompor o isolamento do cabo, caso necessário.
Este item não considera instalação e retirada de coberturas, as quais serão remuneradas por mão de obra específica.</t>
  </si>
  <si>
    <t>ISOLADOR ROLDANA PORCELANA/VIDRO &lt;= 1,2kV LM (SDBT)</t>
  </si>
  <si>
    <t>A atividade contempla:
1 Instalar o isolador roldana na armação secundária.
Esse item será aplicado apenas quando a atividade ocorrer de forma isolada, não sendo somado quando ocorrer instalação/retirada de estrutura.</t>
  </si>
  <si>
    <t>310/2019</t>
  </si>
  <si>
    <t>Substituir Isolador Tipo Roldana</t>
  </si>
  <si>
    <t>A atividade contempla:
1 Soltar o conector dos condutores;
2 Remover o conector dos condutores.</t>
  </si>
  <si>
    <t>A atividade contempla:
1 Retirar condutor do conector chapa;
2 Retirar conector do equipamento; 
3 Isolar condutor quando necessário.</t>
  </si>
  <si>
    <t>ESTRUTURA RA2 P/ RAMAL (SDBT)</t>
  </si>
  <si>
    <t>A atividade contempla:
1 Instalar a fixação no poste;
2 Instalar 2 armações de 1 estribo e 2 roldanas.</t>
  </si>
  <si>
    <t>075/2018</t>
  </si>
  <si>
    <t>Instalar Estrutura Tipo RA (Ramal Aéreo de Serviço)</t>
  </si>
  <si>
    <t>SELAR CAIXA MEDIDOR</t>
  </si>
  <si>
    <t>A atividade contempla:
1 Conferir medidor e seus lacres;
2 Instalar lacre na caixa de medição.
Esse item não será pago quando a atividade contemplar o selo/lacre.</t>
  </si>
  <si>
    <t>IT N°0688
ENERGISA/GTD-IT/Nº337/2019</t>
  </si>
  <si>
    <t>INSTRUÇÃO TÉCNICA – Nº0688
Executar a Aplicação de Lacres em Caixas
e Equipamentos de Medição</t>
  </si>
  <si>
    <t>JUMPER LM (SDMT) POR FASE</t>
  </si>
  <si>
    <t>A atividade contempla:
1 Preparar o cabo adequado para o jumper;
2 Instalar os conectores adequados para o condutor;
3 Recompor isolação, caso necessário.</t>
  </si>
  <si>
    <t>259/2018</t>
  </si>
  <si>
    <t>Instalar Jumper em MT</t>
  </si>
  <si>
    <t>SINALIZADOR DE FALTA LM (SDMT)</t>
  </si>
  <si>
    <t>A atividade contempla:
1 Instalar o sinalizador de falta no bastão pega tudo;
2 Instalar o sinalizador na rede.</t>
  </si>
  <si>
    <t>419/2019</t>
  </si>
  <si>
    <t>Substituir Indicador de Defeito - ENGRO - (subterrâneo)</t>
  </si>
  <si>
    <t>A atividade contempla:
1 Retirar o sinalizador de falta com o bastão pega tudo.</t>
  </si>
  <si>
    <t>CONECTAR BYPASS LM (SDMT)</t>
  </si>
  <si>
    <t>A atividade contempla:
1 Acoplar o jumper de bypass no bastão "pega-tudo";
2 Instalar os grampos em ambos os lados da rede;
3 Apertar grampos do jumper.
Este item será remunerado por fase.</t>
  </si>
  <si>
    <t>A atividade contempla: 
1 Retirar as ferragens de fixação;
2 Retirar porca olhal + manilhas do poste para estruturas BI8;
3 Retirar porca olhal + manilhas e suporte de BT do poste para estruturas BI7.</t>
  </si>
  <si>
    <t>A atividade contempla: 
1 Retirar a porca olhal + manilhas no poste;
2 Retirar as ferragens de fixação.</t>
  </si>
  <si>
    <t>A atividade contempla: 
1 Retirar as ferragens de fixação;
2 Retirar porca olhal + manilhas do poste para estruturas BI3, BI4;
3 Retirar porca olhal + manilhas e suporte de BT do poste para estruturas BI5, BI6.</t>
  </si>
  <si>
    <t>ESTRUTURA U3 LM (SDMT)</t>
  </si>
  <si>
    <t>A atividade contempla:
1 Instalar o isolador de suspensão (bastão polimérico, ou disco porcelana, ou disco de vidro);
2 Apertar fixações da estrutura.</t>
  </si>
  <si>
    <t>234/2018</t>
  </si>
  <si>
    <t>Instalar Estrutura U3</t>
  </si>
  <si>
    <t>AMARRAÇÃO CONDUTOR NO ISOLADOR LM (SDBT)</t>
  </si>
  <si>
    <t>ESTRUTURA SECUNDÁRIA ISOLADA BI1 E BI2 (SDBT)</t>
  </si>
  <si>
    <t>A atividade contempla:
1 Instalar ferragens de fixação;
2 Instalar o grampo de suspensão de baixa tensão ou porca olhal.</t>
  </si>
  <si>
    <t>ARMAÇÃO SECUNDARIA DE 2 ESTRIBOS LM (SDBT)</t>
  </si>
  <si>
    <t>A atividade contempla:
1 Fixar a armação de 2 estribos no poste;
2 Instalar os isoladores roldana na armação.</t>
  </si>
  <si>
    <t>JUMPER LM (SDBT) POR FASE</t>
  </si>
  <si>
    <t>227/2018</t>
  </si>
  <si>
    <t>Instalar Jumper BT</t>
  </si>
  <si>
    <t xml:space="preserve">A atividade contempla:
1 Realizar a remoção do condutor, utilizando o ferramental adequado;
2 Recompor o isolamento do cabo.
</t>
  </si>
  <si>
    <t>SUPORTE TIPO L / T LM (SDMT)</t>
  </si>
  <si>
    <t xml:space="preserve">A atividade contempla:
1 Instalar o suporte.
</t>
  </si>
  <si>
    <t>ESTRUTURA SI4 LM (SDBT)</t>
  </si>
  <si>
    <t>A atividade contempla: 
1 Instalar as ferragens de fixação;
2 Instalar 2 armações de 1 estribo e 2 roldanas</t>
  </si>
  <si>
    <t>112/2018</t>
  </si>
  <si>
    <t>Substituir Estrutura Tipo SI1 para SI4</t>
  </si>
  <si>
    <t>MEDIÇÃO DE GRANDEZAS ELÉTRICAS EM TRANSFORMADOR MONOFÁSICO/BIFÁSICO</t>
  </si>
  <si>
    <t>A atividade contempla:
 1 Retirar o isolador pilar porcelana.
Esse item será aplicado apenas quando a atividade ocorrer de forma isolada, não sendo somado quando ocorrer instalação/retirada de estrutura.</t>
  </si>
  <si>
    <t>A atividade contempla:
1 Verificar se todos os pontos estão com coberturas necessárias;
2 Realizar a remoção, do conector utilizando o ferramental adequado;
3 Recompor o isolamento do cabo.
Este item não considera instalação e retirada de coberturas, as quais serão remuneradas por mão de obra específica.</t>
  </si>
  <si>
    <t>LUBRIFICAÇÃO DE CHAVE LM</t>
  </si>
  <si>
    <t>A atividade contempla:
1 Lubrificar a chave;
2 Testar o funcionamento da chave.</t>
  </si>
  <si>
    <t>ABERTURA E FECHAMENTO DE VALETA POR M</t>
  </si>
  <si>
    <t>A atividade contempla: 
1 Efetuar marcação e limpeza do local;
2 Efetuar abertura da valeta; 
3 Fechar a valeta.</t>
  </si>
  <si>
    <t>A atividade contempla:
1 Desconectar e retirar a chave fusível da estrutura;
2 Remover a fixação para chave fusível.</t>
  </si>
  <si>
    <t>Antiga 039/2020, Atual 0861</t>
  </si>
  <si>
    <t>Retirar Chave Fusível Monopolar em Linha Morta</t>
  </si>
  <si>
    <t>CARTUCHO CHAVE FUSÍVEL/LAMINA LM</t>
  </si>
  <si>
    <t>A atividade contempla:
1 Instalar o cartucho, elo ou lâmina.
Para chave fusível religadora, esse item já contempla a instalação de 1 à 3 elos.</t>
  </si>
  <si>
    <t>273/2018</t>
  </si>
  <si>
    <t>A atividade contempla:
1 Retirar o estribo do condutor;
2 Recompor a isolação do cabo, caso necessário.</t>
  </si>
  <si>
    <t>A atividade contempla:
1 Remover os isoladores roldana da armação;
2 Remover a armação de 3 estribos do poste.</t>
  </si>
  <si>
    <t>A atividade contempla:
1 Verificar se todos os pontos estão com coberturas necessárias;
2 Remover os isoladores roldana da armação;
3 Remover a armação de 3 estribos do poste.
Este item não considera instalação e retirada de coberturas, as quais serão remuneradas por mão de obra específica.</t>
  </si>
  <si>
    <t>CONECTOR CHAPA/CABO/ESTRANGULAR LM (SDBT)</t>
  </si>
  <si>
    <t>A atividade contempla:
1 Desencapar condutor quando necessário;
2 Instalar condutor no conector chapa e apertar;
3 Instalar conector no equipamento e apertar.</t>
  </si>
  <si>
    <t>ABERTURA JUMPER EM REDE COMPACTA LM (SDMT) POR FASE</t>
  </si>
  <si>
    <t>A atividade contempla:
1 Fazer abertura do jumper removendo o conector ou seccionando o cabo;
2 Prender e isolar as extremidades quando necessário.</t>
  </si>
  <si>
    <t>Abertura de jumpe na rede MT em linha morta</t>
  </si>
  <si>
    <t>CONECTOR COMPRESSÃO LM (SDBT)</t>
  </si>
  <si>
    <t>CONECTOR COMPRESSÃO LE (SDBT)</t>
  </si>
  <si>
    <t>A atividade contempla:
1 Verificar se todos os pontos estão com coberturas necessárias;
2 Decapar o cabo, caso necessário;
3 Instalar o conector nos cabos;
4 Realizar a compressão, utilizando o ferramental adequado.
Este item não considera instalação e retirada de coberturas, as quais serão remuneradas por mão de obra específica.</t>
  </si>
  <si>
    <t>Atual 0178</t>
  </si>
  <si>
    <t>Instalar Conector tipo Compressão com LV</t>
  </si>
  <si>
    <t>ESTRUTURA SI4 LE (SDBT)</t>
  </si>
  <si>
    <t>A atividade contempla: 
1 Verificar se todos os pontos estão com coberturas necessárias;
2 Instalar as ferragens de fixação;
3 Instalar 2 armações de 1 estribo e 2 roldanas;
4 Amarrar condutores.
Este item não considera instalação e retirada de coberturas, as quais serão remuneradas por mão de obra específica.</t>
  </si>
  <si>
    <t>A atividade contempla:
1 Retirar o grampo de suspensão de baixa tensão ou porca olhal;
2 Retirar as ferragens de fixação.</t>
  </si>
  <si>
    <t>ESPAÇADOR LOSANGULAR LM (SDMT)</t>
  </si>
  <si>
    <t xml:space="preserve">A atividade contempla:
1 Verificar nivelamento do condutor;
2 Instalar o espaçador na rede, fixando os condutores nas cavidades. </t>
  </si>
  <si>
    <t>440/2019</t>
  </si>
  <si>
    <t>Instalar Espaçador Losangular em Rede Protegida, em Linha Morta</t>
  </si>
  <si>
    <t>A atividade contempla:
1 Retirar o isolador roldana da armação secundária.
Esse item será aplicado apenas quando a atividade ocorrer de forma isolada, não sendo somado quando ocorrer instalação/retirada de estrutura.</t>
  </si>
  <si>
    <t>ABERTURA JUMPER EM REDE NUA LM (SDMT) POR FASE</t>
  </si>
  <si>
    <t xml:space="preserve">A atividade contempla:
1 Fazer abertura do jumper removendo o conector ou seccionando o cabo;
2 Prender as extremidades quando necessário. </t>
  </si>
  <si>
    <t>A atividade contempla:
1 Realizar a remoção do condutor, utilizando o ferramental adequado;
2 Recompor o isolamento do cabo.</t>
  </si>
  <si>
    <t>574/2019</t>
  </si>
  <si>
    <t>Substituir Conector Tipo Perfuração em LDBT</t>
  </si>
  <si>
    <t>A atividade contempla:
1 Retirar o isolador (pilar ou polimérico ou hitop de porcelana ou vidro ou multicorpo);
2 Retirar o pino (topo ou suporte para pilar + pino curto).</t>
  </si>
  <si>
    <t>A atividade contempla:
 1 Retirar o isolador pilar polimérico.
Esse item será aplicado apenas quando a atividade ocorrer de forma isolada, não sendo somado quando ocorrer instalação/retirada de estrutura.</t>
  </si>
  <si>
    <t>A atividade contempla:
1 Remover cartucho, elo ou lâmina.
Para chave fusível religadora, esse item já contempla a retirada de 1 à 3 elos.</t>
  </si>
  <si>
    <t>Substituir Porta Fusível e Elo Fusível por Lâmina Desligadora</t>
  </si>
  <si>
    <t>A atividade contempla:
1 Verificar se todos os pontos estão com coberturas apropriadas;
2 Remover a amarração (fio ou laço).
Este item não considera instalação e retirada de coberturas, as quais serão remuneradas por mão de obra específica.</t>
  </si>
  <si>
    <t>SECCIONAMENTO CERCA POR FIO</t>
  </si>
  <si>
    <t>A atividade contempla:
1 Preparar o local onde será feito o seccionamento da cerca;
2 Instalar as alças pré-formadas nos seccionadores;
3 Instalar o seccionador na cerca fechando as alça por completo;
4 Realizar o corte, de modo que haja a abertura e interrupção de contato do fio;
5 Retirar os resíduos sobressalentes do local.</t>
  </si>
  <si>
    <t>043/2018</t>
  </si>
  <si>
    <t>ISOLADOR PINO POLIMERICO &lt;= 34,5kV LM (SDMT)</t>
  </si>
  <si>
    <t>A atividade contempla:
1 Instalar isolador polimérico.
Esse item será aplicado apenas quando a atividade ocorrer de forma isolada, não sendo somado quando ocorrer instalação/retirada de estrutura.</t>
  </si>
  <si>
    <t>A atividade contempla:
1 Remover a amarração (fio ou laço).</t>
  </si>
  <si>
    <t>A atividade contempla:
1 Tracionar o condutor da rede;
2 Desconectar o conjunto, grampo e condutor, na estrutura;
3 Retirar condutor do grampo de ancoragem;
4 Liberar tração do condutor.</t>
  </si>
  <si>
    <t>ISOLADOR DE DISCO LM (SDMT)</t>
  </si>
  <si>
    <t>A atividade contempla:
1 Instalar sistema de tracionamento no poste/estrutura, caso necessário;
2 Tracionar o condutor soltando o isolador de disco;
3 Retirar o isolador de disco;
4 Remover o sistema de tracionamento no poste/estrutura, caso necessário.
Essa atividade contempla apenas os isoladores em estruturas já existentes.</t>
  </si>
  <si>
    <t>ABERTURA/FECHAMENTO RELIGADOR / CHAVE REMOTA / TELECOMANDA</t>
  </si>
  <si>
    <t>A atividade contempla:
1 Montar vara de manobra;
2 Acionar a alavanca, utilizando a vara de manobra.
Deve ser lançado um item por operação no equipamento (um item de abertura e um item de fechamento).</t>
  </si>
  <si>
    <t>ABERTURA/FECHAMENTO RELIGADOR MONOFÁSICO</t>
  </si>
  <si>
    <t>A atividade contempla:
1 Instalar sistema de tracionamento no poste/estrutura, caso necessário;
2 Tracionar o condutor soltando o isolador bastão polimérico;
3 Retirar o isolador bastão polimérico;
4 Remover o sistema de tracionamento no poste/estrutura, caso necessário.
Esse item será aplicado apenas quando a atividade ocorrer de forma isolada, não sendo somado quando ocorrer instalação/retirada de estrutura.</t>
  </si>
  <si>
    <t>A atividade contempla:
1 Retirar espaçador da rede, removendo os cabos das cavidades.</t>
  </si>
  <si>
    <t>441/2019</t>
  </si>
  <si>
    <t>Substituir Espaçador Losangular em Rede Protegida, em Linha Morta</t>
  </si>
  <si>
    <t>ESPAÇADOR HORIZONTAL LM (SDMT)</t>
  </si>
  <si>
    <t>222/2019</t>
  </si>
  <si>
    <t>Instalar, Retirar ou Substituir Espaçador Horizontal em LDMT</t>
  </si>
  <si>
    <t>A atividade contempla:
1 Tracionar o condutor/cordoalha
2 Remover totalmente a alça do condutor/cordoalha
3 Desinstalar a alça no ponto de ancoragem;
4 Liberar a tração do condutor/cordoalha em caso de desativação da rede</t>
  </si>
  <si>
    <t>A atividade contempla:
1 Instalar sistema de tracionamento no poste/estrutura, caso necessário;
2 Instalar isolador de disco; 
3 Tracionar o condutor fixando ao isolador de disco.
4 Remover o sistema de tracionamento no poste/estrutura, caso necessário;
Essa atividade contempla apenas os isoladores em estruturas já existentes.</t>
  </si>
  <si>
    <t>COBERTURA PROTETORA LE (SDBT) POR FASE</t>
  </si>
  <si>
    <t>A atividade contempla:
1 Instalar coberturas isolantes nos condutores e isoladores.</t>
  </si>
  <si>
    <t>289/2019 e 290/2019</t>
  </si>
  <si>
    <t>Instalação e remoção de coberturas flexíveis / instalação e remoção de coberturas rígidas isoladas</t>
  </si>
  <si>
    <t>A atividade contempla:
1 Remover 2 armações de 1 estribo e 2 roldanas.
2 Remover a fixação no poste;</t>
  </si>
  <si>
    <t>114/2018</t>
  </si>
  <si>
    <t>Substituir Estrutura Tipo RA (Ramal Aéreo de Serviço)</t>
  </si>
  <si>
    <t>A atividade contempla:
1 Remover as conexões da rede, liberando o jumper;
2 Remover o cabo do jumper;
3 Recompor isolação, caso necessário.</t>
  </si>
  <si>
    <t>254/2018</t>
  </si>
  <si>
    <t>Substituir e Remover Jumper de MT</t>
  </si>
  <si>
    <t>DESCONECTAR BYPASS LM (SDMT)</t>
  </si>
  <si>
    <t>A atividade contempla:
1 Desfazer as conexões do bypass e remove-lo.
Este item será remunerado por fase.</t>
  </si>
  <si>
    <t>A atividade contempla:
1 Retirar o isolador de suspensão (bastão polimérico, ou disco porcelana, ou disco de vidro).</t>
  </si>
  <si>
    <t>A atividade contempla:
1 Remover os isoladores roldana da armação;
2 Remover a armação de 2 estribos do poste.</t>
  </si>
  <si>
    <t>ARMAÇÃO SECUNDARIA DE 2 ESTRIBOS LE (SDBT)</t>
  </si>
  <si>
    <t>A atividade contempla:
1 Verificar se todos os pontos estão com coberturas necessárias;
2 Remover os isoladores roldana da armação;
3 Remover a armação de 2 estribos do poste.
Este item não considera instalação e retirada de coberturas, as quais serão remuneradas por mão de obra específica.</t>
  </si>
  <si>
    <t>228/2018</t>
  </si>
  <si>
    <t>Substituir e Remover Jumper BT</t>
  </si>
  <si>
    <t>A atividade contempla:
1 Retirar o suporte.</t>
  </si>
  <si>
    <t>A atividade contempla:
1 Soltar porcas;
2 Retirar pino e isolador hitop/vidro.
Esse item será aplicado apenas quando a atividade ocorrer de forma isolada, não sendo somado quando ocorrer instalação/retirada de estrutura.</t>
  </si>
  <si>
    <t>A atividade contempla: 
1 Retirar 2 armações de 1 estribo e 2 roldanas;
2 Retirar as ferragens de fixação.</t>
  </si>
  <si>
    <t>ABERTURA/FECHAMENTO CHAVE FUSIVEL POR FASE</t>
  </si>
  <si>
    <t>A atividade contempla: 
1 Montar a vara de manobra;
2 Acionar a chave, utilizando a vara de manobra (utilizar o DAC, caso necessário).
Deve ser lançado um item por operação de chave (um item de abertura e um item de fechamento).</t>
  </si>
  <si>
    <t>223/2018</t>
  </si>
  <si>
    <t>Manobrar Chaves em Linhas de Distribuição de Média Tensão</t>
  </si>
  <si>
    <t>ABERTURA/FECHAMENTO CHAVE FUSIVEL RELIGADORA POR FASE</t>
  </si>
  <si>
    <t>ABERTURA/FECHAMENTO CHAVE BY PASS POR FASE</t>
  </si>
  <si>
    <t>Em confecção</t>
  </si>
  <si>
    <t>A atividade contempla:
1 Desconectar e retirar a chave fusível religadora da estrutura;
2 Remover a fixação para chave fusível religadora.</t>
  </si>
  <si>
    <t>Antiga 041/2020, Atual 0863</t>
  </si>
  <si>
    <t>Retirar Chave Fusível Religadora Monopolar em Linha Morta</t>
  </si>
  <si>
    <t>A atividade contempla:
1 Retirar coberturas isolantes nos condutores e isoladores.</t>
  </si>
  <si>
    <t>ESTRUTURA SI1 LM (SDBT)</t>
  </si>
  <si>
    <t>A atividade contempla:
1 Instalar a fixação no poste;
2 Instalar 1 armação de 1 estribo e 1 roldana</t>
  </si>
  <si>
    <t>073/2018</t>
  </si>
  <si>
    <t>Instalar Estrutura Secundária SI-1</t>
  </si>
  <si>
    <t>RAMAL DE SERVIÇO SUBTERRÂNEO BT LM POR M</t>
  </si>
  <si>
    <t xml:space="preserve">A atividade contempla:
1 Instalar e fixar eletroduto caso necessário
2 Lançar cabo guia;
3 Lançar cabo;
4 Efetuar as conexões;
5 Calafetar as extremidades dos eletrodutos.
</t>
  </si>
  <si>
    <t>ESTRUTURA PRIMÁRIA P/ NEUTRO CONTÍNUO LM (SDMT)</t>
  </si>
  <si>
    <t>A atividade contempla: 
1 Instalar a fixação no poste;
2 Instalar a porca olhal (olhal) ou armação secundária e isolador roldana.</t>
  </si>
  <si>
    <t>074/2018</t>
  </si>
  <si>
    <t>Instalar estrutura Tipo S de neutro Contínuo</t>
  </si>
  <si>
    <t>ESTRUTURA SI3 LE (SDBT)</t>
  </si>
  <si>
    <t>A atividade contempla: 
1 Verificar se todos os pontos estão com coberturas necessárias;
2 Instalar a fixação no poste;
3 Instalar 1 armação de 1 estribo e 1 roldana;
4 Amarrar condutores.
Este item não considera instalação e retirada de coberturas, as quais serão remuneradas por mão de obra específica.</t>
  </si>
  <si>
    <t>022/2019</t>
  </si>
  <si>
    <t>ESTRUTURA SI3 LM (SDBT)</t>
  </si>
  <si>
    <t>Substituir Estrutura SI3 para SI4 com Rede Energizada</t>
  </si>
  <si>
    <t>A atividade contempla: 
1 Verificar se todos os pontos estão com coberturas necessárias;
2 Desamarrar condutores;
3 Retirar 2 armações de 1 estribo e 2 roldanas;
4 Retirar as ferragens de fixação.
Este item não considera instalação e retirada de coberturas, as quais serão remuneradas por mão de obra específica.</t>
  </si>
  <si>
    <t>ESTRUTURA RA1 P/ RAMAL (SDBT)</t>
  </si>
  <si>
    <t>A atividade contempla:
1 Instalar a fixação no poste;
2 Instalar 1 armação de 1 estribo e 1 roldana.</t>
  </si>
  <si>
    <t>ABERTURA FAIXA MANUAL PESADA POR M²</t>
  </si>
  <si>
    <t>A atividade contempla:
1 Coletar evidências, conforme padrão da Distribuidora, confirmando que se trata de faixa pesada;
2 Abrir/limpar a faixa de servidão ou abrir vias de acesso entre o ponto de entrada até o ponto desejado, de forma manual;
3 Rebaixar a vegetação na altura máxima indicada pela Distribuidora;
4 Retirar trepadeiras, galhos e troncos de árvores nos postes e nos cabos dos estais, quando necessário;
5 Realizar o aceiro em torno do pé do poste;
6 Acomodar resíduos, conforme procedimento e orientação da Distribuidora.
A atividade é realizada de forma manual quando o método mecanizado não for possível ser utilizado (acesso indisponível).</t>
  </si>
  <si>
    <t>ARMAÇÃO SECUNDARIA DE 1 ESTRIBO LM (SDBT)</t>
  </si>
  <si>
    <t>A atividade contempla:
1 Fixar a armação de 1 estribo no poste;
2 Instalar o isolador roldana na armação.</t>
  </si>
  <si>
    <t>ESTRUTURA SI1 LE (SDBT)</t>
  </si>
  <si>
    <t>020/2019</t>
  </si>
  <si>
    <t>Substituir Estrutura BI1 p/ SI1 com Rede Energizada</t>
  </si>
  <si>
    <t>PARA-RAIO PORCELANA LM (SDMT)</t>
  </si>
  <si>
    <t>ABERTURA/FECHAMENTO CHAVE FACA POR FASE</t>
  </si>
  <si>
    <t>ABERTURA/FECHAMENTO FUSESAVER/ TRIPSAVER/ ROCKET-1 POR FASE</t>
  </si>
  <si>
    <t>A atividade contempla:
1 Montar vara de manobra;
2 Realizar a abertura ou fechamento, utilizando a vara de manobra.
Deve ser lançado um item por operação no equipamento (um item de abertura e um item de fechamento).</t>
  </si>
  <si>
    <t xml:space="preserve">Realizar abertura das chaves de proteção </t>
  </si>
  <si>
    <t>A atividade contempla:
 1 Retirar o isolador polimérico.
Esse item será aplicado apenas quando a atividade ocorrer de forma isolada, não sendo somado quando ocorrer instalação/retirada de estrutura.</t>
  </si>
  <si>
    <t>ABERTURA FAIXA MANUAL LEVE POR M²</t>
  </si>
  <si>
    <t>A atividade contempla:
1 Coletar evidências, conforme padrão da Distribuidora, confirmando que se trata de faixa leve;
2 Abrir/limpar a faixa de servidão ou abrir vias de acesso entre o ponto de entrada até o ponto desejado, de forma manual;
3 Rebaixar a vegetação na altura máxima indicada pela Distribuidora;
4 Retirar trepadeiras, galhos e troncos de árvores nos postes e nos cabos dos estais, quando necessário;
5 Realizar o aceiro em torno do pé do poste;
6 Acomodar resíduos, conforme procedimento e orientação da Distribuidora.
A atividade é realizada de forma manual quando o método mecanizado não for possível ser utilizado (acesso indisponível).</t>
  </si>
  <si>
    <t>PODA CERCA VIVA POR M</t>
  </si>
  <si>
    <t>A atividade contempla:
1 Podar todos os ramos necessários de uma cerca viva;
2 Recolher os resíduos resultante da poda imediatamente após o término dos serviços e varrer o local, não deixando resíduos;
3 Transportar os resíduos para local apropriado, conforme indicado pela Distribuidora.</t>
  </si>
  <si>
    <t>ESPAÇADOR VERTICAL LE (SDBT)</t>
  </si>
  <si>
    <t>A atividade contempla:
1 Verificar se todos os pontos estão com coberturas necessárias;
2 Verificar nivelamento do condutor;
3 Instalar o espaçador na rede, fixando os condutores nas cavidades;</t>
  </si>
  <si>
    <t>063/2018</t>
  </si>
  <si>
    <t>Instalar de Espaçadores em LDBT Energizada com Vara de Manobra</t>
  </si>
  <si>
    <t>A atividade contempla:
1 Verificar se todos os pontos estão com coberturas necessárias;
2 Retirar espaçador da rede, removendo os cabos das cavidades.
Este item não considera instalação e retirada de coberturas, as quais serão remuneradas por mão de obra específica.</t>
  </si>
  <si>
    <r>
      <t xml:space="preserve">ABERTURA JUMPER EM REDE </t>
    </r>
    <r>
      <rPr>
        <strike/>
        <sz val="11"/>
        <color rgb="FFFF0000"/>
        <rFont val="Aptos Narrow"/>
        <family val="2"/>
        <scheme val="minor"/>
      </rPr>
      <t>NUA</t>
    </r>
    <r>
      <rPr>
        <sz val="11"/>
        <rFont val="Aptos Narrow"/>
        <family val="2"/>
        <scheme val="minor"/>
      </rPr>
      <t xml:space="preserve"> LE (SDBT) POR FASE</t>
    </r>
  </si>
  <si>
    <t>A atividade contempla:
1 Verificar se todos os pontos estão com coberturas necessárias; 
2 Fazer abertura do jumper removendo o conector ou seccionando o cabo;
3 Prender as extremidades quando necessário.
Este item não considera instalação e retirada de coberturas, as quais serão remuneradas por mão de obra específica.</t>
  </si>
  <si>
    <t>023/2019</t>
  </si>
  <si>
    <t>Instalar Jumper de BT com Rede Energizada</t>
  </si>
  <si>
    <r>
      <t xml:space="preserve">ABERTURA JUMPER EM REDE </t>
    </r>
    <r>
      <rPr>
        <strike/>
        <sz val="11"/>
        <color rgb="FFFF0000"/>
        <rFont val="Aptos Narrow"/>
        <family val="2"/>
        <scheme val="minor"/>
      </rPr>
      <t>NUA</t>
    </r>
    <r>
      <rPr>
        <sz val="11"/>
        <rFont val="Aptos Narrow"/>
        <family val="2"/>
        <scheme val="minor"/>
      </rPr>
      <t xml:space="preserve"> LM (SDBT) POR FASE</t>
    </r>
  </si>
  <si>
    <t>0228/2018</t>
  </si>
  <si>
    <t>A atividade contempla:
1 Desfazer as conexões;
2 Remover a calafetação;
3 Extrair os cabos.
4 Remover eletroduto e fixação caso necessário
Em caso de extração de todos os cabos, há a necessidade de passar um novo guia.</t>
  </si>
  <si>
    <t>A atividade contempla:
1 Remover 1 armação de 1estribo e 1 roldana;
2 Remover a fixação no poste</t>
  </si>
  <si>
    <t>A atividade contempla: 
1 Remover a porca olhal (olhal) ou armação secundária e isolador roldana;
2 Remover a fixação no poste.</t>
  </si>
  <si>
    <t>A atividade contempla: 
1 Verificar se todos os pontos estão com coberturas necessárias;
2 Desamarrar condutores;
3 Remover 1 armação de 1estribo e 1 roldana;
4 Remover a fixação no poste
Este item não considera instalação e retirada de coberturas, as quais serão remuneradas por mão de obra específica.</t>
  </si>
  <si>
    <t>A atividade contempla:
1 Remover 1 armação de 1 estribo e 1 roldana.
2 Remover a fixação no poste;</t>
  </si>
  <si>
    <t>A atividade contempla:
1 Remover os isolador roldana da armação;
2 Remover a armação de 1 estribo do poste.</t>
  </si>
  <si>
    <t>ARMAÇÃO SECUNDARIA DE 1 ESTRIBO LE (SDBT)</t>
  </si>
  <si>
    <t>A atividade contempla:
1 Verificar se todos os pontos estão com coberturas necessárias;
2 Remover os isolador roldana da armação;
3 Remover a armação de 1 estribo do poste.
Este item não considera instalação e retirada de coberturas, as quais serão remuneradas por mão de obra específica.</t>
  </si>
  <si>
    <t>ESPAÇADOR VERTICAL LM (SDBT)</t>
  </si>
  <si>
    <t>Instalar espaçadores em LDBT Energizada com vara de manobra</t>
  </si>
  <si>
    <t>LIMPEZA FAIXA LEVE MANUAL POR M²</t>
  </si>
  <si>
    <t>A atividade contempla: 
1 Coletar evidências, conforme padrão da Distribuidora, confirmando que se trata de faixa leve;
2 Limpar a faixa de servidão de forma manual, mediante corte/derrubada de vegetação;
3 Rebaixar toda e qualquer vegetação nas proximidades de postes e estais;
4 Remover resíduos para local apropriado, deixando o local acessível;
5 Retirar galhos e troncos de árvores dentro da faixa;
6 Transportar toda a vegetação removida e resíduos gerados para local afastado da área desmatada e vegetação adjacente.
Este item é pago para atividade executada de forma manual, quando o método mecanizado não for possível de ser utilizado (acesso indisponível).
A largura da faixa é definida e indicada nas normas da Distribuidora.</t>
  </si>
  <si>
    <t>RAMAL SERVIÇO MULTIPLEX &gt; 95MM² AEREO LM (SDBT) POR M</t>
  </si>
  <si>
    <t>A atividade contempla:
1 Lançar o cabo, ancorando junto à rede e ao ponto de entrega;
2 Conectar o cabo na rede e no ponto de entrega.
Esse item contempla todas as conexões necessária para energizar a UC.</t>
  </si>
  <si>
    <t>175/2018</t>
  </si>
  <si>
    <t>Instalar Cabo Multiplexado/Cabo ConcêntricoRamal de Serviço</t>
  </si>
  <si>
    <t>BANDOLAGEM DE TRANSFORMADOR TRIFÁSICO POR M</t>
  </si>
  <si>
    <t>A atividade contempla:
1 Preparar transformador para arrasto; 
2 Transportar o transformador manualmente.
Esse item será aplicado para localidade sem acesso ao veículo, onde é necessária a realização da bandolagem.</t>
  </si>
  <si>
    <t>ENERGISA/GTCD-IT/Nº236/2018</t>
  </si>
  <si>
    <t>Bandolar Transformador</t>
  </si>
  <si>
    <t>BANDOLAGEM POSTE DE CONCRETO &gt; 13M POR M</t>
  </si>
  <si>
    <t>A atividade contempla:
1 Preparar postes para arrasto; 
2 Transportar o poste manualmente.
Esse item será aplicado para localidade sem acesso ao veículo, onde é necessária a realização da bandolagem.</t>
  </si>
  <si>
    <t>RAMAL SERVIÇO MULTIPLEX &lt;= 95MM² AEREO LM (SDBT) POR M</t>
  </si>
  <si>
    <t>A atividade contempla:
1 Desconectar o cabo da rede e do ponto de entrega;
2 Remover as ancoragens e recolher o cabo.</t>
  </si>
  <si>
    <t>BANDOLAGEM POSTE DE CONCRETO &lt;= 13M POR M</t>
  </si>
  <si>
    <t>BANDOLAGEM DE TRANSFORMADOR BIFÁSICO POR M</t>
  </si>
  <si>
    <t>NIVELAMENTO VÃO REDE NU &gt; 2/0 CA/CAA LM (SDBT) POR M</t>
  </si>
  <si>
    <t>A atividade contempla:
1 Soltar as alças e amarrações do trecho;
2 Tensionar o cabo;
3 Refazer as amarrações e alças.</t>
  </si>
  <si>
    <t>231/2019</t>
  </si>
  <si>
    <t>Retencionar e Nivelar Condutor de MT/BT</t>
  </si>
  <si>
    <t>CONDUTOR MULTIPLEX &gt; 70MM² AEREO LM (SDBT) POR M</t>
  </si>
  <si>
    <t>A atividade contempla:
1 Posicionar a bobina para o lançamento dos cabos;
2 Instalar as bandolas lançando os cabos;
3 Tracionar os cabos nos pontos de ancoragem, com a ferramenta adequada;
4 Instalar amarrações, emendas e alças no condutores.</t>
  </si>
  <si>
    <t>Antiga 174/2018, Atual 0174</t>
  </si>
  <si>
    <t>Instalar Condutor de Baixa Tensão Isolada (Cabo Multiplexado)</t>
  </si>
  <si>
    <t>NIVELAMENTO VÃO REDE MULTIPLEX &gt; 70 MM LM (SDBT) POR M</t>
  </si>
  <si>
    <t xml:space="preserve">A atividade contempla:
1 Soltar as alças do trecho;
2 Tensionar o cabo;
3 Refazer as alças.
</t>
  </si>
  <si>
    <t>NIVELAMENTO VÃO REDE NU &lt;= 2/0 CA/CAA LM (SDBT) POR M</t>
  </si>
  <si>
    <t>231/2018</t>
  </si>
  <si>
    <t>NIVELAMENTO VÃO REDE NU &gt; 2/0 CA/CAA LM (SDMT) POR M</t>
  </si>
  <si>
    <t>CONDUTOR MULTIPLEX &lt;= 70MM² AEREO LM (SDBT) POR M</t>
  </si>
  <si>
    <t xml:space="preserve">A atividade contempla:
1 Posicionar a bobina para o lançamento dos cabos;
2 Instalar as bandolas lançando os cabos;
3 Tracionar os cabos nos pontos de ancoragem, com a ferramenta adequada;
4 Instalar amarrações, emendas e alças no condutores.
</t>
  </si>
  <si>
    <t>174/2018</t>
  </si>
  <si>
    <t>NIVELAMENTO VÃO REDE MULTIPLEX &lt;= 70MM LE (SDBT) POR M</t>
  </si>
  <si>
    <t>A atividade contempla:
1 Soltar as alças do trecho;
2 Tensionar o cabo;
3 Refazer as alças.</t>
  </si>
  <si>
    <t>RAMAL SERVIÇO CONCENTRICO &lt;= 95MM² AEREO LM (SDBT) POR M</t>
  </si>
  <si>
    <t>NIVELAMENTO VÃO REDE NU &lt;= 2/0 CA/CAA LM (SDMT) POR M</t>
  </si>
  <si>
    <t>BANDOLAGEM MECANIZADA POSTE DE CONCRETO &gt; 13M POR M</t>
  </si>
  <si>
    <t>A atividade contempla:
1 Preparar postes para arrasto;
2 Transportar o poste de forma mecanizada (utilização de balsa, trator, polia).
Esse item será aplicado para localidade sem acesso ao veículo, onde é necessária a realização da bandolagem.</t>
  </si>
  <si>
    <t>044/2018</t>
  </si>
  <si>
    <t>Validar metragem mínima para aplicação da bandolagem</t>
  </si>
  <si>
    <t>BANDOLAGEM MECANIZADA POSTE DE CONCRETO &lt;= 13M POR M</t>
  </si>
  <si>
    <t>BANDOLAGEM MECANIZADA POSTE DE FIBRA DE VIDRO &lt;= 13M POR M</t>
  </si>
  <si>
    <t>NIVELAMENTO VÃO REDE MULTIPLEX &gt; 70MM LE (SDBT) POR M</t>
  </si>
  <si>
    <t>A atividade contempla:
1 Verificar se todos os pontos estão com coberturas necessárias;
2 Soltar as alças do trecho;
3 Tensionar o cabo;
4 Refazer as alças.
Este item não considera instalação e retirada de coberturas, as quais serão remuneradas por mão de obra específica.</t>
  </si>
  <si>
    <t>031/2020</t>
  </si>
  <si>
    <t>BANDOLAGEM MECANIZADA DE TRANSFORMADOR</t>
  </si>
  <si>
    <t>A atividade contempla:
1 Preparar transformador para arrasto;
2 Transportar o transformador de forma mecanizada (utilização de balsa, trator, polia).
Esse item será aplicado para localidade sem acesso ao veículo, onde é necessária a realização da bandolagem.</t>
  </si>
  <si>
    <t>CONDUTOR PROTEGIDO/ISOLADO &gt; 95MM² AEREO LM (SDMT) POR M</t>
  </si>
  <si>
    <t xml:space="preserve">A atividade contempla:
1 Posicionar a bobina para o lançamento dos cabos;
2 Instalar as bandolas lançando os cabos;
3 Tracionar os cabos nos pontos de ancoragem, com a ferramenta adequada;
4 Instalar amarrações, emendas e alças ou grampos no condutores.
</t>
  </si>
  <si>
    <t>Antiga 173/2018, Atual 0173</t>
  </si>
  <si>
    <t>Instalar Condutor de Média Tensão Compacta (Cabo Protegido)</t>
  </si>
  <si>
    <t>CONDUTOR PROTEGIDO/ISOLADO &lt;= 95MM² AEREO LM (SDMT) POR M</t>
  </si>
  <si>
    <t>CONDUTOR NU &lt;= 2/0 AEREO LM (SDMT) POR M</t>
  </si>
  <si>
    <t>Antiga 172/2018, Atual 0172</t>
  </si>
  <si>
    <t>Instalar Condutor de Média Tensão Convencional (Cabo NU)</t>
  </si>
  <si>
    <t>CORDOALHA PARA REDE PROTEGIDA POR M</t>
  </si>
  <si>
    <t>A atividade contempla:
1 Posicionar a bobina para o lançamento da cordoalha;
2 Instalar as bandolas lançando a cordoalha;
3 Tracionar a cordoalha nos pontos de ancoragem, com a ferramenta adequada;
4 Instalar as alças na cordoalha e no prensa cabo.</t>
  </si>
  <si>
    <t>CONDUTOR NU &gt; 2/0 AEREO LM (SDMT) POR M</t>
  </si>
  <si>
    <t>CONDUTOR NU &gt; 2/0 AEREO LM (SDBT) POR M</t>
  </si>
  <si>
    <t>A atividade contempla:
1 Amarrar os cabos para a devida descida ao solo;
2 Soltar as amarrações e alças para liberar o cabo;
3 Descer o cabo até o solo;
4 Enrolar o cabo e fazer a sua recolha.</t>
  </si>
  <si>
    <t>CONDUTOR NU &lt;= 2/0 AEREO LM (SDBT) POR M</t>
  </si>
  <si>
    <t>BANDOLAGEM DE TRANSFORMADOR MONOFÁSICO POR M</t>
  </si>
  <si>
    <t>ABERTURA FAIXA MECANIZADA PESADA POR M²</t>
  </si>
  <si>
    <t>A atividade contempla:
1 Coletar evidências, conforme padrão da Distribuidora, confirmando que se trata de faixa pesada;
2 Abrir/limpar a faixa de servidão ou abrir vias de acesso entre o ponto de entrada até o ponto desejado, de forma mecanizada;
3 Rebaixar a vegetação na altura máxima indicada pela Distribuidora;
4 Retirar trepadeiras, galhos e troncos de árvores nos postes e nos cabos dos estais, quando necessário;
5 Realizar o aceiro em torno do pé do poste;
6 Acomodar resíduos, conforme procedimento e orientação da Distribuidora.</t>
  </si>
  <si>
    <t>2 + trator</t>
  </si>
  <si>
    <t>A atividade contempla:
1 Amarrar os cabos para a devida descida ao solo;
2 Soltar as amarrações e alças ou grampos para liberar o cabo;
3 Descer o cabo até o solo;
4 Enrolar o cabo já no solo e fazer a sua recolha.</t>
  </si>
  <si>
    <t>A atividade contempla:
1 Amarrar a cordoalha para a devida descida ao solo;
2 Soltar as alças e liberar do prensa cabo para liberar a cordoalha;
3 Descer a cordoalha até o solo;
4 Enrolar cordoalha já no solo e fazer a sua recolha.</t>
  </si>
  <si>
    <t>NIVELAMENTO VÃO REDE PROTEGIDO &gt;= 120MM LM (SDMT) POR M</t>
  </si>
  <si>
    <t>A atividade contempla:
1 Soltar os grampos ou alças e amarrações dos isoladores e espaçadores;
2 Tensionar o cabo;
3 Instalar os grampos ou alças e amarrações dos isoladores e espaçadores.</t>
  </si>
  <si>
    <t>BANDOLAGEM POSTE DE FIBRA DE VIDRO &lt;= 13M POR M</t>
  </si>
  <si>
    <t>ABERTURA FAIXA MECANIZADA LEVE POR M²</t>
  </si>
  <si>
    <t>A atividade contempla:
1 Coletar evidências, conforme padrão da Distribuidora, confirmando que se trata de faixa leve;
2 Abrir/limpar a faixa de servidão ou abrir vias de acesso entre o ponto de entrada até o ponto desejado, de forma mecanizada;
3 Rebaixar a vegetação na altura máxima indicada pela Distribuidora;
4 Retirar trepadeiras, galhos e troncos de árvores nos postes e nos cabos dos estais, quando necessário;
5 Realizar o aceiro em torno do pé do poste;
6 Acomodar resíduos, conforme procedimento e orientação da Distribuidora.</t>
  </si>
  <si>
    <t>NIVELAMENTO VÃO REDE PROTEGIDO &lt; 120MM LM  (SDMT) POR M</t>
  </si>
  <si>
    <t>NIVELAMENTO VÃO REDE MULTIPLEX &lt;= 70MM LM (SDBT) POR M</t>
  </si>
  <si>
    <t>LIMPEZA FAIXA PESADA MANUAL POR M²</t>
  </si>
  <si>
    <t>A atividade contempla: 
1 Coletar evidências, conforme padrão da Distribuidora, confirmando que se trata de faixa pesada;
2 Limpar a faixa de servidão de forma manual, mediante corte/derrubada de vegetação;
3 Rebaixar toda e qualquer vegetação nas proximidades de postes e estais;
4 Remover resíduos para local apropriado, deixando o local acessível;
5 Retirar galhos e troncos de árvores dentro da faixa;
6 Transportar todo vegetação removida e resíduos gerados para local afastado da área desmatada e vegetação adjacente.
Este item é pago para atividade executada de forma manual, quando o método mecanizado não for possível de ser utilizado (acesso indisponível);
A largura da faixa é definida e indicada nas normas da Distribuidora.</t>
  </si>
  <si>
    <t>BANDOLAGEM DE MATERIAIS POR M</t>
  </si>
  <si>
    <t>A atividade contempla:
1 Preparar materiais para arrasto; 
2 Transportar os materiais manualmente.
Esse item será aplicado para localidade sem acesso ao veículo, onde é necessária a realização da bandolagem.
Esse item considera o arrasto conjunto de todos os materiais relacionados ao poste (exceto transformador e poste que possuem mão de obra específica) e será remunerado apenas uma vez pela distância entre o veículo e o local do poste.
Esse item somente será reconhecido quando a distância do arrasto for superior a 10 metros.</t>
  </si>
  <si>
    <t>LIMPEZA FAIXA PESADA MECANIZADA POR M²</t>
  </si>
  <si>
    <t>A atividade contempla:
1 Coletar evidências, conforme padrão da Distribuidora, confirmando que se trata de faixa pesada;
2 Limpar a faixa de servidão de forma mecanizada, mediante corte/derrubada de vegetação;
3 Limitar o corte da vegetação com o trator até as proximidades de postes e estais;
4 Manter a vegetação a uma altura máxima de acordo com a instrução da Distribuidora;
5 Remover resíduos para local apropriado, deixando o local acessível;
6 Retirar galhos e troncos de árvores dentro da faixa;
7 Transportar toda a vegetação removida e resíduos gerados para local afastado da área desmatada e vegetação adjacente.
A largura da faixa é definida e indicada nas normas da Distribuidora.</t>
  </si>
  <si>
    <t>LIMPEZA FAIXA LEVE MECANIZADA POR M²</t>
  </si>
  <si>
    <t>A atividade contempla:
1 Coletar evidências, conforme padrão da Distribuidora, confirmando que se trata de faixa leve;
2 Limpar a faixa de servidão de forma mecanizada, mediante corte/derrubada de vegetação;
3 Limitar o corte da vegetação até as proximidades de postes e estais;
4 Manter a vegetação a uma altura máxima de acordo com a instrução da Distribuidora;
5 Remover resíduos para local apropriado, deixando o local acessível;
6 Retirar galhos e troncos de árvores dentro da faixa;
7 Transportar todo vegetação removida e resíduos gerados para local afastado da área desmatada e vegetação adjacente.
A largura da faixa é definida e indicada nas normas da Distribuidora.</t>
  </si>
  <si>
    <t>CADASTRO DE CLIENTE SISTEMA COMERCIAL</t>
  </si>
  <si>
    <t>A atividade contempla:
1- Incluir na OS de ligação nova os dados do cliente
2 - Incluir Livro/local/rota/conta (pegar dados com o DESC)
3 - Incluir dados do medidor (número do medidor, leitura do medidor e número selo do lacre)
4 - Incluir dados da equipe executora ( Matricula, frota e km)
5 - Executar OS de ligação nova para gerar UC
6 - Anexar OS executada no SIAGO</t>
  </si>
  <si>
    <t>N/A</t>
  </si>
  <si>
    <t>COBERTURA PROTETORA LV (SDMT) POR FASE</t>
  </si>
  <si>
    <t>C&amp;M LV</t>
  </si>
  <si>
    <t xml:space="preserve">A atividade contempla:
1 Identificar a classe de tensão da rede e instalar coberturas isolantes nos condutores e isoladores.
</t>
  </si>
  <si>
    <t>A atividade contempla:
Para conexão:
1 Instalar a cruzeta auxiliar e chaves provisórias no poste onde será feita a conexão;
2 Conectar jumper das chaves auxiliares;
3 Identificar o faseamento previamente;
4 Conectar os cabos de saída do gerador nas chaves auxiliares;
5 Fechar as chaves auxiliares;
6 Acionar o gerador.
Para desconexão:
1 Desligar o gerador;
2 Abrir as chaves auxiliares;
3 Desconectar jumper das chaves auxiliares;
4 Remover cruzeta auxiliar e chaves provisórias;
5 Desconectar cabos do gerador ao término da atividade.
Deve ser lançado um item por operação do equipamento (um item de conexão e um item de desconexão).
A disponibilidade, monitoramento e alimentação do gerador serão remunerados em mão de obra específica.
Este item não considera instalação e retirada de coberturas, as quais serão remuneradas por mão de obra específica.</t>
  </si>
  <si>
    <t>CONEXÃO/ DESCONEXÃO GERADOR DE MT LV</t>
  </si>
  <si>
    <t xml:space="preserve">A atividade contempla:
1 Verificar se todos os pontos estão com coberturas necessárias;
2 Realizar a remoção do conector, utilizando o ferramental adequado;
3 Recompor o isolamento do cabo, caso necessário.
Este item não considera instalação e retirada de coberturas, as quais serão remuneradas por mão de obra específica.
</t>
  </si>
  <si>
    <t>CONECTOR CUNHA LV (SDMT)</t>
  </si>
  <si>
    <t xml:space="preserve">A atividade contempla:
1 Verificar se todos os pontos estão com coberturas necessárias;
2 Decapar o cabo, caso necessário;
3 Realizar a instalação do conector, utilizando o ferramental adequado.
Este item não considera instalação e retirada de coberturas, as quais serão remuneradas por mão de obra específica.
</t>
  </si>
  <si>
    <t>056/2020</t>
  </si>
  <si>
    <t>CONECTOR COMPRESSÃO LV (SDMT)</t>
  </si>
  <si>
    <t>A atividade contempla:
1 Verificar se todos os pontos estão com coberturas necessárias;
2 Garantir descarregamento dos capacitores, após abertura da chave, conforme tempo indicado;
3 Realizar teste de ausência de tensão;
4 Remover as conexões da rede;
5 Retirar as células capacitivas;
6 Retirar o suporte;
7 Retirar as fixações do poste.
Este item não considera instalação e retirada de coberturas, as quais serão remuneradas por mão de obra específica.
Esse item considera até 3 células e, caso sejam instaladas mais células, será remunerada na mão de obra específica.
Caso o banco esteja instalado em estrutura limpa, a retirada da estrutura limpa será paga na mão de obra específica.</t>
  </si>
  <si>
    <t>BANCO CAPACITOR LV (SDMT)</t>
  </si>
  <si>
    <t>A atividade contempla:
1 Verificar se todos os pontos estão com coberturas necessárias;
2 Instalar as fixações junto ao poste;
3 Instalar o suporte;
4 Instalar as células capacitivas;
5 Realizar as conexões junto à rede.
Este item não considera instalação e retirada de coberturas, as quais serão remuneradas por mão de obra específica.
Caso não seja disponibilizado o suporte do banco, a instalação da estrutura limpa será paga na mão de obra específica.
Esse item considera até 3 células e, caso sejam instaladas mais células, será remunerada na mão de obra específica.</t>
  </si>
  <si>
    <t>A atividade contempla:
1 Verificar se todos os pontos estão com coberturas necessárias;
2 Instalar o conjunto de elevação;
3 Afrouxar os parafusos ou cintas de fixação da cruzeta;
4 Nivelar cruzeta;
5 Reapertar os parafusos;
6 Retirar o conjunto de elevação.
Este item não considera instalação e retirada de coberturas, as quais serão remuneradas por mão de obra específica.
Essa atividade contempla apenas correção de cruzetas já instaladas.</t>
  </si>
  <si>
    <t>NIVELAMENTO DE CRUZETA LV</t>
  </si>
  <si>
    <t>362/2018</t>
  </si>
  <si>
    <t xml:space="preserve">A atividade contempla:
1 Verificar se todos os pontos estão com coberturas necessárias;
2 Desconectar e retirar a chave Omni Rupter da estrutura;
3 Remover a fixação para chave Omni Rupter.
Este item não considera instalação e retirada de coberturas, as quais serão remuneradas por mão de obra específica.
</t>
  </si>
  <si>
    <t>CHAVE OMNI RUPTER  &lt;= 34,5 kV LV (SDMT) POR FASE</t>
  </si>
  <si>
    <t>IT 045/2021 (0923)</t>
  </si>
  <si>
    <t>A atividade contempla:
1 Verificar se todos os pontos estão com coberturas necessárias;
2 Desamarrar condutores;
3 Remover os suportes, pinos (de topo, se necessário) e isolador.
Este item não considera instalação e retirada de coberturas, as quais serão remuneradas por mão de obra específica.</t>
  </si>
  <si>
    <t>ESTRUTURA P1, PT1, PTA1 LV (SDMT)</t>
  </si>
  <si>
    <t>IT 118/2019 (0486)</t>
  </si>
  <si>
    <t>A atividade contempla:
1 Verificar se todos os pontos estão com coberturas necessárias;
2 Instalar suportes, pinos (de topo, se necessário) e isolador;
3 Amarrar condutores.
Este item não considera instalação e retirada de coberturas, as quais serão remuneradas por mão de obra específica.</t>
  </si>
  <si>
    <t xml:space="preserve">A atividade contempla:
1 Verificar se todos os pontos estão com coberturas necessárias;
1 Tracionar o condutor da rede;
2 Desconectar o conjunto, grampo e condutor, na estrutura;
3 Retirar condutor do grampo de ancoragem;
4 Liberar tração do condutor.
Este item não considera instalação e retirada de coberturas, as quais serão remuneradas por mão de obra específica.
</t>
  </si>
  <si>
    <t>GRAMPO ANCORAGEM LV (SDMT)</t>
  </si>
  <si>
    <t>A atividade contempla:
1 Verificar se todos os pontos estão com coberturas necessárias;
2 Tracionar o condutor da rede;
3 Fixar condutor no grampo de ancoragem;
4 Conectar o conjunto, grampo e condutor, na estrutura;
5 Liberar tração do condutor.
Este item não considera instalação e retirada de coberturas, as quais serão remuneradas por mão de obra específica.</t>
  </si>
  <si>
    <t>A atividade contempla:
1 Verificar se todos os pontos estão com coberturas necessárias;
2 Desamarrar condutores;
2 Retirar os pinos, isoladores de pino e isolador de suspensão;
4 Retirar os 4 vãos de cordoalha que interligam os postes;
5 Retirar as ferragens de fixação junto ao poste.
Este item não considera instalação e retirada de coberturas, as quais serão remuneradas por mão de obra específica.</t>
  </si>
  <si>
    <t>ESTRUTURA HTTE LV (SDMT)</t>
  </si>
  <si>
    <t>A atividade contempla:
1 Verificar se todos os pontos estão com coberturas necessárias;
2 Instalar as ferragens de fixação junto ao poste;
3 Instalar 4 vãos de cordoalhas interligando os postes;
4 Instalar os pinos e isoladores de pino;
5 Instalar isoladores de suspensão;
6 Amarrar condutores.
Este item não considera instalação e retirada de coberturas, as quais serão remuneradas por mão de obra específica.</t>
  </si>
  <si>
    <t>A atividade contempla:
1 Verificar se todos os pontos estão com coberturas necessárias;
2 Remover do poste as fixações e as duas cruzetas polimérica ou de madeira.
Este item não considera instalação e retirada de coberturas, as quais serão remuneradas por mão de obra específica.</t>
  </si>
  <si>
    <t>CRUZETA LIMPA POLIMÉRICA/MADEIRA 2N/2M/2B/2BE LV</t>
  </si>
  <si>
    <t>A atividade contempla:
1 Verificar se todos os pontos estão com coberturas necessárias;
2 Instalar no poste as fixações e as duas cruzetas polimérica ou de madeira.
Este item não considera instalação e retirada de coberturas, as quais serão remuneradas por mão de obra específica.</t>
  </si>
  <si>
    <t xml:space="preserve">A atividade contempla:
1 Verificar se todos os pontos estão com coberturas necessárias;
2 Remover do poste as fixações e a cruzeta polimérica ou de madeira simples.
Este item não considera instalação e retirada de coberturas, as quais serão remuneradas por mão de obra específica.
</t>
  </si>
  <si>
    <t>CRUZETA LIMPA POLIMÉRICA/MADEIRA 1N/1M/1B/1BE LV</t>
  </si>
  <si>
    <t>A atividade contempla:
1 Verificar se todos os pontos estão com coberturas necessárias;
2 Instalar no poste as fixações e a cruzeta polimérica ou de madeira simples.
Este item não considera instalação e retirada de coberturas, as quais serão remuneradas por mão de obra específica.</t>
  </si>
  <si>
    <t>A atividade contempla:
1 Verificar se todos os pontos estão com coberturas necessárias;
2 Remover do poste as fixações e as duas cruzetas de concreto.
Este item não considera instalação e retirada de coberturas, as quais serão remuneradas por mão de obra específica.</t>
  </si>
  <si>
    <t>CRUZETA LIMPA CONCRETO 2N/2M/2B LV</t>
  </si>
  <si>
    <t>A atividade contempla:
1 Verificar se todos os pontos estão com coberturas necessárias;
2 Instalar no poste as fixações e as duas cruzetas de concreto.
Este item não considera instalação e retirada de coberturas, as quais serão remuneradas por mão de obra específica.</t>
  </si>
  <si>
    <t xml:space="preserve">A atividade contempla:
1 Verificar se todos os pontos estão com coberturas necessárias;
2 Remover do poste as fixações e a cruzeta de concreto simples.
Este item não considera instalação e retirada de coberturas, as quais serão remuneradas por mão de obra específica.
</t>
  </si>
  <si>
    <t>CRUZETA LIMPA CONCRETO 1N/1M/1B LV</t>
  </si>
  <si>
    <t>A atividade contempla:
1 Verificar se todos os pontos estão com coberturas necessárias;
2 Instalar no poste as fixações e a cruzeta de concreto simples.
Este item não considera instalação e retirada de coberturas, as quais serão remuneradas por mão de obra específica.</t>
  </si>
  <si>
    <t>A atividade contempla:
1 Verificar se todos os pontos estão com coberturas necessárias;
2 Verificar as condições do condutor (tentos rompidos, cabo recozido por aquecimento, cabo marcado por curto circuito);
3 Identificar o tipo de objeto a ser retirado;
4 Preparar equipamentos necessários;
5 Retirar objeto;
6 Observar condições do condutor.
Este item não considera instalação e retirada de coberturas, as quais serão remuneradas por mão de obra específica.</t>
  </si>
  <si>
    <t>OBJETO ESTRANHO NA REDE LV</t>
  </si>
  <si>
    <t>197/2019</t>
  </si>
  <si>
    <t>A atividade contempla:
1 Verificar se todos os pontos estão com coberturas necessárias;
2 Instalar o bypass, caso necessário;
3 Desfazer as conexões do fly (jumper) ou cortar os cabos.
Este item não considera instalação e retirada de coberturas, as quais serão remuneradas por mão de obra específica.
Esse item remunera a conexão de todas as fases e a conexão do neutro.</t>
  </si>
  <si>
    <t>FLYING-TAP REDE NU LV (SDMT)</t>
  </si>
  <si>
    <t xml:space="preserve">A atividade contempla:
1 Verificar se todos os pontos estão com coberturas necessárias;
2 Medir e cortar condutores para o fly (jumper);
3 Instalar o bypass, caso necessário;
4 Fazer as conexões do fly (jumper) junto à rede.
Este item não considera instalação e retirada de coberturas, as quais serão remuneradas por mão de obra específica.
Esse item remunera a conexão de todas as fases e a conexão do neutro.
</t>
  </si>
  <si>
    <t xml:space="preserve">A atividade contempla:
1 Verificar se todos os pontos estão com coberturas necessárias;
2 Paramentar a vestimenta de proteção e equipamentos de segurança específicos efetuar a remoção do vespeiro ou colmeia;
3 Transferir vespeiro ou colmeia para local adequado;
4 Efetuar a limpeza do local.
Este item não considera instalação e retirada de coberturas, as quais serão remuneradas por mão de obra específica.
</t>
  </si>
  <si>
    <t>VESPEIRO / COLMÉIA NA REDE / ESTRUTURA LV</t>
  </si>
  <si>
    <t>A atividade contempla:
1 Verificar se todos os pontos estão com coberturas necessárias;
2 Desfazer as conexões do fly (jumper) junto à rede;
3 Retirar o separador vertical, se necessário;
4 Recompor o isolamento do cabo, caso necessário.
Este item não considera instalação e retirada de coberturas, as quais serão remuneradas por mão de obra específica.
Esse item remunera a conexão de todas as fases e a conexão do neutro.</t>
  </si>
  <si>
    <t>FLYING-TAP REDE PROTEGIDA LV (SDMT)</t>
  </si>
  <si>
    <t>084/2019</t>
  </si>
  <si>
    <t xml:space="preserve">A atividade contempla:
1 Verificar se todos os pontos estão com coberturas necessárias;
2 Medir e cortar condutores para o fly (jumper);
3 Instalar o separador vertical, se necessário;
4 Desencapar o cabo, caso necessário;
5 Fazer as conexões do fly (jumper) junto à rede;
6 Recompor o isolamento do cabo, caso necessário.
Este item não considera instalação e retirada de coberturas, as quais serão remuneradas por mão de obra específica.
Esse item remunera a conexão de todas as fases e a conexão do neutro.
</t>
  </si>
  <si>
    <t xml:space="preserve">A atividade contempla:
1 Verificar se todos os pontos estão com coberturas necessárias;
2 Retirar o suporte.
Este item não considera instalação e retirada de coberturas, as quais serão remuneradas por mão de obra específica.
</t>
  </si>
  <si>
    <t>SUPORTE TIPO L / T LV (SDMT)</t>
  </si>
  <si>
    <t>A atividade contempla:
1 Verificar se todos os pontos estão com coberturas necessárias;
2 Instalar o suporte;
3 Retirar todas as coberturas utilizadas.
Este item não considera instalação e retirada de coberturas, as quais serão remuneradas por mão de obra específica.</t>
  </si>
  <si>
    <t>A atividade contempla:
1 Verificar se todos os pontos estão com coberturas necessárias;
2 Desconectar e retirar a chave fusível religadora da estrutura;
3 Remover a fixação para chave fusível religadora.
Este item não considera instalação e retirada de coberturas, as quais serão remuneradas por mão de obra específica.</t>
  </si>
  <si>
    <t>CHAVE FUSIVEL RELIGADORA &lt;= 34,5 kV LV (SDMT) POR FASE</t>
  </si>
  <si>
    <t>A atividade contempla:
1 Verificar se todos os pontos estão com coberturas necessárias;
2 Instalar o suporte para fixação da chave fusível religadora;
3 Instalar a chave fusível religadora e conectar na rede.
Este item não considera instalação e retirada de coberturas, as quais serão remuneradas por mão de obra específica.</t>
  </si>
  <si>
    <t>AMARRAÇÃO CONDUTOR NO ISOLADOR LV (SDMT)</t>
  </si>
  <si>
    <t>A atividade contempla:
1 Verificar se todos os pontos estão com coberturas necessárias;
2 Instalar o bypass na rede, se necessário;
3 Retirar o GLV do estribo.
Este item não considera instalação e retirada de coberturas, as quais serão remuneradas por mão de obra específica.</t>
  </si>
  <si>
    <t>GLV LV POR UN</t>
  </si>
  <si>
    <t>A atividade contempla:
1 Verificar se todos os pontos estão com coberturas necessárias;
2 Instalar o GLV no estribo;
3 Retirar o bypass na rede, caso necessário.
Este item não considera instalação e retirada de coberturas, as quais serão remuneradas por mão de obra específica.</t>
  </si>
  <si>
    <t>Antiga 194/2019, Atutal 0549</t>
  </si>
  <si>
    <t>ESPAÇADOR LOSANGULAR LV (SDMT)</t>
  </si>
  <si>
    <t>A atividade contempla:
1 Verificar se todos os pontos estão com coberturas necessárias;
2 Verificar nivelamento do condutor;
3 Instalar o espaçador na rede, fixando os condutores nas cavidades.
Este item não considera instalação e retirada de coberturas, as quais serão remuneradas por mão de obra específica.</t>
  </si>
  <si>
    <t>A atividade contempla:
1 Verificar se todos os pontos estão com coberturas necessárias;
2 Retirar o prolongador.
Este item não considera instalação e retirada de coberturas, as quais serão remuneradas por mão de obra específica.</t>
  </si>
  <si>
    <t>PROLONGADOR LV (SDMT)</t>
  </si>
  <si>
    <t>A atividade contempla:
1 Verificar se todos os pontos estão com coberturas necessárias;
2 Instalar o prolongador.
Este item não considera instalação e retirada de coberturas, as quais serão remuneradas por mão de obra específica.</t>
  </si>
  <si>
    <t xml:space="preserve">A atividade contempla:
1 Verificar se todos os pontos estão com coberturas necessárias;
2 Desconectar e retirar a chave bypass da estrutura;
3 Remover a fixação para chave bypass.
Este item não considera instalação e retirada de coberturas, as quais serão remuneradas por mão de obra específica.
</t>
  </si>
  <si>
    <t>CHAVE BYPASS MANUAL &lt;= 34,5 kV LV (SDMT) POR FASE</t>
  </si>
  <si>
    <t xml:space="preserve">A atividade contempla:
1 Verificar se todos os pontos estão com coberturas necessárias;
2 Instalar o suporte para fixação da chave bypass;
3 Instalar a chave bypass e conectar na rede.
Este item não considera instalação e retirada de coberturas, as quais serão remuneradas por mão de obra específica.
</t>
  </si>
  <si>
    <t>A atividade contempla:
1 Verificar se todos os pontos estão com coberturas necessárias;
2 Instalar o bypass na chave fusível ou faca;
3 Regular o posicionamento da chave fusível ou faca na estrutura;
3 Limpar, lubrificar, regular e testar o acionamento da chave faca ou fusível;
5 Retirar o bypass na chave fusível ou faca.
Este item não considera instalação e retirada de coberturas, as quais serão remuneradas por mão de obra específica.</t>
  </si>
  <si>
    <t>REGULAGEM CHAVE FUSÍVEL/ FACA LV POR UN</t>
  </si>
  <si>
    <t>A atividade contempla:
1 Verificar se todos os pontos estão com coberturas isolantes apropriadas;
2 Retirar as ligações secundárias;
3 Retirar as conexões do equipamento à rede primária;
4 Retirar o equipamento;
5 Retirar os suportes para a instalação do equipamento.
Este item não considera instalação e retirada de coberturas, as quais serão remuneradas por mão de obra específica.</t>
  </si>
  <si>
    <t>TRANSFORMADOR DE POTENCIA (TP) DE REDE LV (SDMT)</t>
  </si>
  <si>
    <t xml:space="preserve">A atividade contempla:
1 Verificar se todos os pontos estão com coberturas isolantes apropriadas;
2 Fixar os suportes para a instalação do equipamento;
3 Içar ao poste e instalar o equipamento;
4 Instalar as conexões do equipamento à rede primária;
5 Fazer as ligações secundárias.
Este item não considera instalação e retirada de coberturas, as quais serão remuneradas por mão de obra específica.
</t>
  </si>
  <si>
    <t>Antiga 081/2019, publicada IT_Nº0382 - Instalar Poste em BT com Rede Energizada</t>
  </si>
  <si>
    <t>A atividade contempla:
1 Instalar cobertura no poste;
2 Verificar a instalação das demais coberturas isolantes necessárias;
3 Travar poste no guindauto;
4 Liberar base do poste;
5 Retirar poste; 
6 Tapar e apiloar buracos.
Este item não considera instalação e retirada das demais coberturas (exceto poste), as quais serão remuneradas por mão de obra específica.</t>
  </si>
  <si>
    <t>POSTE DE CONCRETO &lt;= 13M LV</t>
  </si>
  <si>
    <t>A atividade contempla:
1 Instalar cobertura no poste;
2 Verificar a instalação das demais coberturas isolantes necessárias;
3 Içar poste do caminhão ou do solo;
4 Colocar poste na cava;
5 Aprumar e apiloar poste.
Este item não considera instalação e retirada das demais coberturas (exceto poste), as quais serão remuneradas por mão de obra específica.</t>
  </si>
  <si>
    <t>A atividade contempla:
1 Verificar se todos os pontos estão protegidos com coberturas isolantes;
2 Instalar a catraca, guincho manual ou moitão no poste, para remoção da tração na cordoalha;
3 Desfazer a conexão da cordoalha com o neutro, na existência deste;
4 Remover a amarrações, porca olhal ou olhal e recolher a cordoalha.
Este item não considera instalação e retirada de coberturas, as quais serão remuneradas por mão de obra específica.</t>
  </si>
  <si>
    <t>ESTAI POSTE A POSTE LV (SDMT)</t>
  </si>
  <si>
    <t>A atividade contempla:
1 Verificar se todos os pontos estão protegidos com coberturas isolantes;
2 Equipar os postes com porca olhal ou olhal;
3 Fixar a cordoalha em um dos postes;
4 Instalar a catraca, guincho manual ou moitão no outro poste; 
5 Tensionar e fixar a cordoalha na porca olhal ou olhal no poste;
6 Conectar a cordoalha, quando da existência do neutro;
7 Fazer arremate nas pontas da cordoalha.
Este item não considera instalação e retirada de coberturas, as quais serão remuneradas por mão de obra específica.</t>
  </si>
  <si>
    <t>POSTE DE CONCRETO &gt; 13M LV</t>
  </si>
  <si>
    <t>A atividade contempla:
1 Verificar se todos os pontos estão com coberturas necessárias;
2 Retirar a antena de comunicação junto ao poste, caso necessário;
3 Desconectar o religador trifásico da rede primária e do cordão umbilical do controle;
4 Retirar o religador trifásico do suporte;
5 Retirar o suporte do religador trifásico.
Este item não considera instalação e retirada de coberturas, as quais serão remuneradas por mão de obra específica.</t>
  </si>
  <si>
    <t>RELIGADOR 3F &lt; 34,5 kA LV (SDMT)</t>
  </si>
  <si>
    <t>A atividade contempla:
1 Verificar se todos os pontos estão com coberturas necessárias;
2 Instalar o suporte do religador trifásico;
3 Instalar o religador trifásico na base;
4 Ligar o religador trifásico na rede primária e no cordão umbilical do controle;
5 Instalar a antena de comunicação junto ao poste, caso necessário.
Este item não considera instalação e retirada de coberturas, as quais serão remuneradas por mão de obra específica.</t>
  </si>
  <si>
    <t>A atividade contempla:
1 Verificar se todos os pontos estão protegidos com coberturas isolantes;
2 Instalar estai temporário;
3 Desfazer a conexão da cordoalha com o neutro, na existência deste;
4 Instalar a catraca, guincho manual ou moitão no poste, para remoção da tração na cordoalha;
5 Remover a amarrações, porca olhal ou olhal e recolher a cordoalha.
Este item não considera instalação e retirada de coberturas, as quais serão remuneradas por mão de obra específica.</t>
  </si>
  <si>
    <t>ESTAI CRUZETA A POSTE LV (SDMT)</t>
  </si>
  <si>
    <t>A atividade contempla:
1 Verificar se todos os pontos estão protegidos com coberturas isolantes;
2 Equipar cruzeta e poste com porca olhal ou olhal;
3 Fixar a cordoalha na cruzeta;
4 Instalar a catraca, guincho manual ou moitão no poste; 
5 Tensionar e fixar a cordoalha na porca olhal ou olhal no poste;
6 Conectar a cordoalha, quando houver existência do neutro;
7 Fazer arremate nas pontas da cordoalha.
Este item não considera instalação e retirada de coberturas, as quais serão remuneradas por mão de obra específica.</t>
  </si>
  <si>
    <t>A atividade contempla:
1 Coletar evidências, conforme padrão da Distribuidora, confirmando que se trata de poda em área isolada em regime de linha viva;
2 Instalar o detector de ausência de tensão;
3 Verificar se isoladores, estruturas e condutores elétricos primários estão com coberturas instaladas;
4 Podar todos os galhos necessários que causem risco a rede de distribuição, preservando a estrutura e estética da árvore;
5 Retirar o detector de ausência de tensão;
6 Remover os galhos cortados junto aos postes, calçadas, cercas, córregos, rios, leito carroçável;
7 Empilhar galhos em local adequado, não bloqueando o transito de pedestres e veículos;
8 Informar ao responsável pela recolha, caso necessário.
Este item não considera instalação e retirada de coberturas, as quais serão remuneradas por mão de obra específica.</t>
  </si>
  <si>
    <t>PODA LV EM ÁREA ISOLADA</t>
  </si>
  <si>
    <t>A atividade contempla:
1 Coletar evidências, conforme padrão da Distribuidora, confirmando que se trata de poda em área agrupada em regime de linha viva;
2 Instalar o detector de ausência de tensão;
3 Verificar se isoladores, estruturas e condutores elétricos primários estão com coberturas instaladas;
4 Podar todos os galhos necessários que causem risco a rede de distribuição, preservando a estrutura e estética da árvore;
5 Retirar o detector de ausência de tensão;
6 Remover os galhos cortados junto aos postes, calçadas, cercas, córregos, rios, leito carroçável;
7 Empilhar galhos em local adequado, não bloqueando o transito de pedestres e veículos;
8 Informar ao responsável pela recolha, caso necessário.
Este item não considera instalação e retirada de coberturas, as quais serão remuneradas por mão de obra específica.</t>
  </si>
  <si>
    <t>PODA LV EM ÁREA AGRUPADA</t>
  </si>
  <si>
    <t>A atividade contempla:
1 Verificar se todos os pontos estão com coberturas necessárias;
2 Instalar estai temporário, caso necessário;
3 Tracionar e liberar a cordoalha;
4 Remover das estruturas com porcas olhal ou olhal e sapatilhas no parafuso passante.
Este item não considera instalação e retirada de coberturas, as quais serão remuneradas por mão de obra específica.</t>
  </si>
  <si>
    <t>ESTAI CRUZETA A CRUZETA LV (SDMT)</t>
  </si>
  <si>
    <t>A atividade contempla:
1 Verificar se todos os pontos estão protegidos com coberturas isolantes;
2 Equipar as estruturas com porcas olhal ou olhal e sapatilhas no parafuso passante;
3 Instalar a cordoalha;
4 Tracionar cordoalha;
5 Fazer arremate nas pontas da cordoalha.
Este item não considera instalação e retirada de coberturas, as quais serão remuneradas por mão de obra específica.</t>
  </si>
  <si>
    <t>225/2019</t>
  </si>
  <si>
    <t>A atividade contempla:
1 Verificar se todos os pontos estão com coberturas necessárias;
2 Desconectar o cabo de aterramento e o jumper do pára-raios;
3 Retirar o pára-raios;
4 Retirar o suporte de pára-raios; 
5 Prender o jumper da fase no próprio cabo da LDMT;
6 Prender o jumper do aterramento no próprio poste ou em alguma ferragem da estrutura ou ao neutro da rede.
Este item não considera instalação e retirada de coberturas, as quais serão remuneradas por mão de obra específica.</t>
  </si>
  <si>
    <t>PARA-RAIO PORCELANA LV (SDMT)</t>
  </si>
  <si>
    <t>IT 012/2021 (0890)</t>
  </si>
  <si>
    <t>A atividade contempla:
1 Verificar se todos os pontos estão com coberturas necessárias;
2 Desamarrar condutores;
3 Remover a fixação e o isolador bastão.
Este item não considera instalação e retirada de coberturas, as quais serão remuneradas por mão de obra específica.</t>
  </si>
  <si>
    <t>ESTRUTURA P3 LV (SDMT)</t>
  </si>
  <si>
    <t>IT 005/2021 (0883)</t>
  </si>
  <si>
    <t>A atividade contempla:
1 Verificar se todos os pontos estão com coberturas necessárias;
2 Instalar a fixação e o isolador bastão;
3 Amarrar condutores.
Este item não considera instalação e retirada de coberturas, as quais serão remuneradas por mão de obra específica.</t>
  </si>
  <si>
    <t>PARA-RAIO POLIMÉRICO LV (SDMT)</t>
  </si>
  <si>
    <t>A atividade contempla:
1 Verificar se todos os pontos estão com coberturas necessárias;
2 Instalar suporte do pára-raios;
3 Fixar o pára-raios no suporte;
4 Instalar o jumper conectando ao cabo fase da LDMT;
5 Conectar e fixar o cabo de aterramento e o jumper ao pára-raios.
Este item não considera instalação e retirada de coberturas, as quais serão remuneradas por mão de obra específica.</t>
  </si>
  <si>
    <t xml:space="preserve">A atividade contempla:
1 Verificar se todos os pontos estão com coberturas apropriadas;
2 Amarrar os cabos para a devida descida ao solo;
3 Soltar as amarrações e alças para liberar o cabo;
4 Descer e enrolar o cabo.
Este item não considera instalação e retirada de coberturas, as quais serão remuneradas por mão de obra específica.
</t>
  </si>
  <si>
    <t>CONDUTOR NU &lt;= 2/0 AEREO LV (SDMT) POR M</t>
  </si>
  <si>
    <t>A atividade contempla:
1 Verificar se todos os pontos estão com coberturas apropriadas;
2 Posicionar a bobina para o lançamento dos cabos;
3 Instalar as bandolas lançando os cabos;
4 Tracionar os cabos nos pontos de ancoragem, com a ferramenta adequada;
5 Instalar amarrações e alças no condutores.
Este item não considera instalação e retirada de coberturas, as quais serão remuneradas por mão de obra específica.</t>
  </si>
  <si>
    <t>174/2019</t>
  </si>
  <si>
    <t xml:space="preserve">A atividade contempla:
1 Verificar se as coberturas estão instaladas no condutor primário (MT);
2 Desamarrar condutores;
3 Retirar os fixações, isolador de suspensão e isolador pilar ou de topo.
Este item não considera instalação e retirada de coberturas, as quais serão remuneradas por mão de obra específica.
</t>
  </si>
  <si>
    <t>ESTRUTURA U4 LV (SDMT)</t>
  </si>
  <si>
    <t xml:space="preserve">A atividade contempla:
1 Verificar se as coberturas estão instaladas no condutor primário (MT);
2 Instalar fixações, isolador de suspensão e isolador pilar ou de topo;
3 Amarrar condutores.
Este item não considera instalação e retirada de coberturas, as quais serão remuneradas por mão de obra específica.
</t>
  </si>
  <si>
    <t>170/2019</t>
  </si>
  <si>
    <t xml:space="preserve">A atividade contempla:
1 Verificar se as coberturas estão instaladas no condutor primário (MT);
2 Desamarrar condutores;
3 Retirar fixações e isolador de suspensão.
Este item não considera instalação e retirada de coberturas, as quais serão remuneradas por mão de obra específica.
</t>
  </si>
  <si>
    <t>ESTRUTURA U3 LV (SDMT)</t>
  </si>
  <si>
    <t>075/2019</t>
  </si>
  <si>
    <t xml:space="preserve">A atividade contempla:
1 Verificar se as coberturas estão instaladas no condutor primário (MT);
2 Instalar fixações e o isolador de suspensão;
3 Amarrar condutores.
Este item não considera instalação e retirada de coberturas, as quais serão remuneradas por mão de obra específica.
</t>
  </si>
  <si>
    <t>173/2019</t>
  </si>
  <si>
    <t>A atividade contempla:
1 Verificar a devida instalação das coberturas isolantes;
2 Desamarrar condutores;
3 Retirar os pinos (topo ou suporte para pilar + pino curto);
4 Retirara os isoladores (pilar ou polimérico ou hitop de porcelana ou vidro ou multicorpo);
Este item não considera instalação e retirada de coberturas, as quais serão remuneradas por mão de obra específica.</t>
  </si>
  <si>
    <t>ESTRUTURA U2 LV (SDMT)</t>
  </si>
  <si>
    <t xml:space="preserve">A atividade contempla:
1 Verificar a instalação das coberturas isolantes;
2 Instalar os pinos (topo ou suporte para pilar + pino curto);
3 Instalar os isoladores (pilar ou polimérico ou hitop de porcelana ou vidro ou multicorpo);
4 Amarrar condutores.
Este item não considera instalação e retirada de coberturas, as quais serão remuneradas por mão de obra específica.
</t>
  </si>
  <si>
    <t>172/2019</t>
  </si>
  <si>
    <t xml:space="preserve">A atividade contempla:
1 Verificar a devida instalação das coberturas isolantes;
2 Desamarrar condutores;
3 Retirar o pino (topo ou suporte para pilar + pino curto);
4 Retirar o isolador (pilar ou polimérico ou hitop de porcelana ou vidro ou multicorpo);
Este item não considera instalação e retirada de coberturas, as quais serão remuneradas por mão de obra específica.
</t>
  </si>
  <si>
    <t>ESTRUTURA U1 LV (SDMT)</t>
  </si>
  <si>
    <t xml:space="preserve">A atividade contempla:
1 Verificar a instalação das coberturas isolantes;
2 Instalar o pino (topo ou suporte para pilar + pino curto);
3 Instalar o isolador (pilar ou polimérico ou hitop de porcelana ou vidro ou multicorpo);
4 Amarrar condutores.
Este item não considera instalação e retirada de coberturas, as quais serão remuneradas por mão de obra específica.
</t>
  </si>
  <si>
    <t>IT 031/2021 (0909)</t>
  </si>
  <si>
    <t>A atividade contempla:
1 Verificar se todos os pontos estão com coberturas necessárias;
2 Desamarrar condutores;
3 Retirar a fixação, os pinos e os isoladores bastão e de pino.
Este item não considera instalação e retirada de coberturas, as quais serão remuneradas por mão de obra específica.</t>
  </si>
  <si>
    <t>ESTRUTURA P4 LV (SDMT)</t>
  </si>
  <si>
    <t>IT 119/2019 (0487)</t>
  </si>
  <si>
    <t>A atividade contempla:
1 Verificar se todos os pontos estão com coberturas necessárias;
2 Instalar a fixação, os pinos e os isoladores bastão e de pino;
3 Amarrar condutores.
Este item não considera instalação e retirada de coberturas, as quais serão remuneradas por mão de obra específica.</t>
  </si>
  <si>
    <t>IT 112/2021 (0890)</t>
  </si>
  <si>
    <t>ESTRUTURA P3.3 LV (SDMT)</t>
  </si>
  <si>
    <t>171/2019</t>
  </si>
  <si>
    <t>A atividade contempla: 
1 Verificar se todos os pontos estão com coberturas necessárias;
2 Desamarrar condutores;
3 Retirar os isoladores e pinos;
4 Retirar do poste as duas cruzetas polimérica ou de madeira e fixações.
Este item não considera instalação e retirada de coberturas, as quais serão remuneradas por mão de obra específica.</t>
  </si>
  <si>
    <t>ESTRUTURA TE POLIMÉRICA/MADEIRA LV (SDMT)</t>
  </si>
  <si>
    <t>076/2019</t>
  </si>
  <si>
    <t>A atividade contempla: 
1 Verificar se todos os pontos estão com coberturas necessárias;
2 Instalar ferragens de fixação;
3 Instalar as cruzetas poliméricas ou de madeira no poste;
4 Instalar os isoladores de suspensão;
5 Instalar isolador pilar;
6 Instalar pinos de cruzeta e isoladores, caso necessário (se houver);
7 Amarrar condutores.
Este item não considera instalação e retirada de coberturas, as quais serão remuneradas por mão de obra específica.</t>
  </si>
  <si>
    <t>176/2019</t>
  </si>
  <si>
    <t>A atividade contempla:
1 Verificar se todos os pontos estão com coberturas necessárias;
2 Desamarrar condutores;
3 Retirar o braço L, estribo, braço anti-balanço ou isolador de suspensão e espaçador losangular;
4 Retirar as ferragens de fixação.
Este item não considera instalação e retirada de coberturas, as quais serão remuneradas por mão de obra específica.</t>
  </si>
  <si>
    <t>ESTRUTURA CE1A LV (SDMT)</t>
  </si>
  <si>
    <t xml:space="preserve">A atividade contempla:
1 Verificar se todos os pontos estão com coberturas necessárias;
2 Instalar ferragens de fixações;
3 Instalar o braço L, estribo, braço anti-balanço ou isolador de suspensão e espaçador losangular;
4 Amarrar condutores.
Este item não considera instalação e retirada de coberturas, as quais serão remuneradas por mão de obra específica.
</t>
  </si>
  <si>
    <t>167/2019</t>
  </si>
  <si>
    <t>A atividade contempla:
1 Verificar se todos os pontos estão com coberturas apropriadas;
2 Desamarrar os condutores dos isoladores;
3 Retirar os pinos e isoladores de pino e bastão;
4 Retirar as cruzetas de concreto.
Este item não considera instalação e retirada de coberturas, as quais serão remuneradas por mão de obra específica.</t>
  </si>
  <si>
    <t>ESTRUTURA TE CONCRETO LV (SDMT)</t>
  </si>
  <si>
    <t>A atividade contempla:
1 Verificar se todos os pontos estão com coberturas apropriadas;
2 Instalar no poste as cintas e fixações;
3 Instalar as cruzetas;
4 Instalar os isoladores de suspensão;
5 Instalar isolador pilar;
6 Instalar pinos de cruzeta e isoladores, caso necessário (se houver);
7 Amarrar condutores.
Este item não considera instalação e retirada de coberturas, as quais serão remuneradas por mão de obra específica.</t>
  </si>
  <si>
    <t>251/2019</t>
  </si>
  <si>
    <t>A atividade contempla:
1 Verificar se todos os pontos estão com coberturas necessárias;
2 Soltar as conexões e retirar a chave faca da estrutura;
3 Remover o suporte inclinado ou fixação para chave faca.
Este item não considera instalação e retirada de coberturas, as quais serão remuneradas por mão de obra específica.</t>
  </si>
  <si>
    <t>CHAVE FACA &lt;= 34,5 kV LV (SDMT) POR FASE</t>
  </si>
  <si>
    <t>115/2019</t>
  </si>
  <si>
    <t xml:space="preserve">A atividade contempla:
1 Verificar se todos os pontos estão com coberturas necessárias;
2 Instalar o suporte inclinado ou fixação para chave faca;
3 Fixar a chave faca na estrutura e conectar junto aos terminais.
Este item não considera instalação e retirada de coberturas, as quais serão remuneradas por mão de obra específica.
</t>
  </si>
  <si>
    <t>A atividade contempla:
1 Verificar a sequência de fase visualmente ou com uso de equipamento específico.
Atividade executado antes de interligação de alimentadores de acordo com a solicitação da distribuidora.</t>
  </si>
  <si>
    <t>VERIFICAR SEQUENCIA DE FASES (SDMT)</t>
  </si>
  <si>
    <t>IT 018/2021 (0896)</t>
  </si>
  <si>
    <t>A atividade contempla:
1 Verificar se todos os pontos estão com coberturas necessárias;
2 Desamarrar condutores;
3 Retirar os pinos e isoladores de pino;
4 Retirar isolador de suspensão;
5 Retirar os 2 vãos de cordoalha que interligam os postes;
6 Retirar as ferragens de fixação junto ao poste.
Este item não considera instalação e retirada de coberturas, as quais serão remuneradas por mão de obra específica.</t>
  </si>
  <si>
    <t>ESTRUTURA HTE LV(SDMT)</t>
  </si>
  <si>
    <t xml:space="preserve">IT 120/2019 (0488) </t>
  </si>
  <si>
    <t>A atividade contempla:
1 Verificar se todos os pontos estão com coberturas necessárias;
2 Instalar as ferragens de fixação junto ao poste;
3 Instalar 2 vãos de cordoalhas interligando os postes;
4 Instalar os pinos e isoladores de pino;
5 Instalar isoladores de suspensão;
6 Amarrar condutores.
Este item não considera instalação e retirada de coberturas, as quais serão remuneradas por mão de obra específica.</t>
  </si>
  <si>
    <t>IT 049/21 (0927)</t>
  </si>
  <si>
    <t xml:space="preserve">A atividade contempla:
1 Verificar se todos os pontos estão com coberturas necessárias;
2 Desamarrar condutores;
3 Retirar o braço J, pinos, isoladores e fixações.
Este item não considera instalação e retirada de coberturas, as quais serão remuneradas por mão de obra específica.
</t>
  </si>
  <si>
    <t>ESTRUTURA CEJ2 LV (SDMT)</t>
  </si>
  <si>
    <t>IT 004/2021 (0882)</t>
  </si>
  <si>
    <t>A atividade contempla:
1 Verificar se todos os pontos estão com coberturas necessárias;
2 Instalar ferragens de fixação;
3 Instalar o braço J, pinos e isoladores;
4 Amarrar condutores.
Este item não considera instalação e retirada de coberturas, as quais serão remuneradas por mão de obra específica.</t>
  </si>
  <si>
    <t>IT 048/2021 (0926)</t>
  </si>
  <si>
    <t xml:space="preserve">A atividade contempla:
1 Verificar se todos os pontos estão com coberturas necessárias;
2 Desamarrar condutores;
3 Retirar o braço J e espaçador losangular;
4 Retirar as ferragens de fixação.
Este item não considera instalação e retirada de coberturas, as quais serão remuneradas por mão de obra específica.
</t>
  </si>
  <si>
    <t>ESTRUTURA CEJ1 LV (SDMT)</t>
  </si>
  <si>
    <t>IT 003/2021 (0881)</t>
  </si>
  <si>
    <t>A atividade contempla:
1 Verificar se todos os pontos estão com coberturas necessárias;
2 Instalar ferragens de fixação;
3 Instalar o braço J e espaçador losangular;
4 Amarrar condutores.
Este item não considera instalação e retirada de coberturas, as quais serão remuneradas por mão de obra específica.</t>
  </si>
  <si>
    <t>IT 200/2019</t>
  </si>
  <si>
    <t>A atividade contempla:
1 Verificar se todos os pontos estão com coberturas necessárias;
2 Desamarrar condutores;
3 Retirar o braço C, pinos e isoladores de pino e de bastão;
4 Retirar as ferragens de fixação.
Este item não considera instalação e retirada de coberturas, as quais serão remuneradas por mão de obra específica.</t>
  </si>
  <si>
    <t>ESTRUTURA CE4 LV (SDMT)</t>
  </si>
  <si>
    <t>IT 077/2019</t>
  </si>
  <si>
    <t xml:space="preserve">A atividade contempla:
1 Verificar se todos os pontos estão com coberturas necessárias;
2 Instalar as ferragens de fixação ao poste;
3 Instalar o braço C, pinos e isoladores de pino e de bastão;
4 Amarrar condutores.
Este item não considera instalação e retirada de coberturas, as quais serão remuneradas por mão de obra específica.
</t>
  </si>
  <si>
    <t>IT 024/2021  (0902)</t>
  </si>
  <si>
    <t>A atividade contempla:
1 Verificar se todos os pontos estão com coberturas necessárias;
2 Desamarrar condutores;
3 Retirar porca olhal, isoladores de bastão e pinos/isoladores (se houver); 
4 Retirar o braço C e cantoneira;
5 Retirar as ferragens de fixação.
Este item não considera instalação e retirada de coberturas, as quais serão remuneradas por mão de obra específica.</t>
  </si>
  <si>
    <t>ESTRUTURA CE3 LV (SDMT)</t>
  </si>
  <si>
    <t>179/2019</t>
  </si>
  <si>
    <t>A atividade contempla:
1 Verificar se todos os pontos estão com coberturas necessárias;
2 Instalar as ferragens de fixação ao poste;
3 Instalar o braço C e cantoneira;
4 Instalar porca olhal, isoladores de bastão e pinos/isoladores (se houver);
5 Amarrar condutores.
Este item não considera instalação e retirada de coberturas, as quais serão remuneradas por mão de obra específica.</t>
  </si>
  <si>
    <t>178/2019</t>
  </si>
  <si>
    <t xml:space="preserve">A atividade contempla:
1 Verificar se todos os pontos estão com coberturas necessárias;
2 Desamarrar condutores
3 Retirar o braço C, pinos e isoladores de pino e de bastão;
4 Retirar as ferragens de fixação.
Este item não considera instalação e retirada de coberturas, as quais serão remuneradas por mão de obra específica.
</t>
  </si>
  <si>
    <t>ESTRUTURA CE2-3 LV (SDMT)</t>
  </si>
  <si>
    <t>177/2019</t>
  </si>
  <si>
    <t>A atividade contempla:
1 Verificar se todos os pontos estão com coberturas necessárias;
2 Desamarrar condutores;
3 Retirar o braço C, pinos e isoladores de pino;
4 Retirar as ferragens de fixação.
Este item não considera instalação e retirada de coberturas, as quais serão remuneradas por mão de obra específica.</t>
  </si>
  <si>
    <t xml:space="preserve">ESTRUTURA CE2/ CE2H LV (SDMT) </t>
  </si>
  <si>
    <t>079/2019</t>
  </si>
  <si>
    <t xml:space="preserve">A atividade contempla:
1 Verificar se todos os pontos estão com coberturas necessárias;
2 Instalar as ferragens de fixação ao poste;
3 Instalar o braço C, pinos e isoladores de pino;
4 Amarrar condutores.
Este item não considera instalação e retirada de coberturas, as quais serão remuneradas por mão de obra específica.
</t>
  </si>
  <si>
    <t>175/2019</t>
  </si>
  <si>
    <t>A atividade contempla:
1 Verificar se todos os pontos estão com coberturas necessárias;
2 Desamarrar condutores;
3 Retirar o braço L, estribo e espaçador losangular;
4 Retirar as ferragens de fixação.
Este item não considera instalação e retirada de coberturas, as quais serão remuneradas por mão de obra específica.</t>
  </si>
  <si>
    <t>ESTRUTURA CE1 LV (SDMT)</t>
  </si>
  <si>
    <t xml:space="preserve">A atividade contempla:
1 Proteger todos os pontos com coberturas apropriadas;
2 Instalar ferragens de fixações;
3 Instalar o braço L, estribo e espaçador losangular;
4 Amarrar condutores.
Este item não considera instalação e retirada de coberturas, as quais serão remuneradas por mão de obra específica.
</t>
  </si>
  <si>
    <t>ESPAÇADOR HORIZONTAL LV (SDMT)</t>
  </si>
  <si>
    <t>121/2019 / Autal 489</t>
  </si>
  <si>
    <t xml:space="preserve">A atividade contempla:
1 Verificar se todos os pontos estão com coberturas necessárias;
2 Verificar nivelamento do condutor;
3 Instalar o espaçador na rede, fixando os condutores nas cavidades.
Este item não considera instalação e retirada de coberturas, as quais serão remuneradas por mão de obra específica.
</t>
  </si>
  <si>
    <t>126/2019</t>
  </si>
  <si>
    <t>A atividade contempla:
1 Verificar se todos os pontos estão com coberturas necessárias;
2 Soltar porcas;
3 Retirar pino e isolador hitop/vidro.
Este item não considera instalação e retirada de coberturas, as quais serão remuneradas por mão de obra específica.
Esse item será aplicado apenas quando a atividade ocorrer de forma isolada, não sendo somado quando ocorrer instalação/retirada de estrutura.</t>
  </si>
  <si>
    <t>PINO COM ISOLADOR HITOP PORCELANA/VIDRO LV (SDMT)</t>
  </si>
  <si>
    <t>A atividade contempla:
1 Verificar se todos os pontos estão com coberturas necessárias;
2 Instalar pino com isolador Hitop/vidro.
Este item não considera instalação e retirada de coberturas, as quais serão remuneradas por mão de obra específica.
Esse item será aplicado apenas quando a atividade ocorrer de forma isolada, não sendo somado quando ocorrer instalação/retirada de estrutura.</t>
  </si>
  <si>
    <t>0891/2020</t>
  </si>
  <si>
    <t>A atividade contempla:
1 Verificar se todos os pontos estão com coberturas necessárias;
2 Realizar a remoção do conector, utilizando o ferramental adequado;
3 Recompor o isolamento do cabo.
Este item não considera instalação e retirada de coberturas, as quais serão remuneradas por mão de obra específica.</t>
  </si>
  <si>
    <t>CONECTOR PERFURANTE LV (SDMT)</t>
  </si>
  <si>
    <t>0873/20</t>
  </si>
  <si>
    <t>A atividade contempla:
1 Verificar se todos os pontos estão com coberturas necessárias;
2 Desfazer as conexões do bypass e remove-lo.
Este item não considera instalação e retirada de coberturas, as quais serão remuneradas por mão de obra específica.
Este item será remunerado por fase.</t>
  </si>
  <si>
    <t>DESCONECTAR BYPASS LV (SDMT)</t>
  </si>
  <si>
    <t>A atividade contempla:
1 Verificar se todos os pontos estão com coberturas necessárias;
2 Acoplar o jumper de bypass no bastão "pega-tudo";
3 Instalar os grampos em ambos os lados da rede;
4 Apertar grampos do jumper.
Este item não considera instalação e retirada de coberturas, as quais serão remuneradas por mão de obra específica.
Este item será remunerado por fase.</t>
  </si>
  <si>
    <t>CONECTAR BYPASS LV (SDMT)</t>
  </si>
  <si>
    <t>A atividade contempla:
1 Verificar se todos os pontos estão com coberturas necessárias;
2 Desamarrar condutores;
3 Retirar porca olhal, isoladores de bastão e pinos/isoladores (se houver); 
4 Retirar o braço U e cantoneira;
5 Retirar as ferragens de fixação.
Este item não considera instalação e retirada de coberturas, as quais serão remuneradas por mão de obra específica.</t>
  </si>
  <si>
    <t>ESTRUTURA CE3U LV (SDMT)</t>
  </si>
  <si>
    <t>A atividade contempla:
1 Verificar se todos os pontos estão com coberturas necessárias;
2 Instalar as ferragens de fixação ao poste;
3 Instalar o braço U e cantoneira;
4 Instalar porca olhal, isoladores de bastão e pinos/isoladores (se houver);
5 Amarrar condutores.
Este item não considera instalação e retirada de coberturas, as quais serão remuneradas por mão de obra específica.</t>
  </si>
  <si>
    <t>224/2019</t>
  </si>
  <si>
    <t xml:space="preserve">A atividade contempla:
1 Verificar se todos os pontos estão com coberturas necessárias;
2 Soltar os grampos ou alças e amarrações dos isoladores e espaçadores;
3 Tensionar o cabo;
4 Instalar os grampos ou alças e amarrações dos isoladores e espaçadores.
Este item não considera instalação e retirada de coberturas, as quais serão remuneradas por mão de obra específica.
</t>
  </si>
  <si>
    <t>NIVELAMENTO VÃO REDE PROTEGIDO &lt; 120MM LV  (SDMT) POR M</t>
  </si>
  <si>
    <t>224/2020</t>
  </si>
  <si>
    <t>A atividade contempla:
1 Verificar se todos os pontos estão com coberturas necessárias;
2 Soltar as alças e amarrações do trecho;
3 Tensionar o cabo;
4 Refazer as amarrações e alças.
Este item não considera instalação e retirada de coberturas, as quais serão remuneradas por mão de obra específica.</t>
  </si>
  <si>
    <t>NIVELAMENTO VÃO REDE NU &gt; 2/0 CA/CAA LV (SDMT) POR M</t>
  </si>
  <si>
    <t>A atividade contempla:
1 Verificar se todos os pontos estão com coberturas necessárias;
2 Instalar Bypass quando necessário;
3 Soltar extremidades dos condutores quando necessário;
4 Fechar jumper instalando conector adequado;
5 Isolar a conexão;
6 Remover bypass quando necessário.
Este item não considera instalação e retirada de coberturas, as quais serão remuneradas por mão de obra específica.</t>
  </si>
  <si>
    <t>FECHAMENTO JUMPER EM REDE NUA LV (SDMT) POR FASE</t>
  </si>
  <si>
    <t>554/2019</t>
  </si>
  <si>
    <t>A atividade contempla:
1 Verificar se todos os pontos estão com coberturas necessárias;
2 Instalar Bypass quando necessário;
3 Soltar e remover isolamento das extremidades dos condutores quando necessário. 
4 Fechar jumper instalando conector adequado;
5 Isolar a conexão.
6 Remover bypass quando necessário.
Este item não considera instalação e retirada de coberturas, as quais serão remuneradas por mão de obra específica.</t>
  </si>
  <si>
    <t>FECHAMENTO JUMPER EM REDE COMPACTA LV (SDMT) POR FASE</t>
  </si>
  <si>
    <t>A atividade contempla:
1 Verificar se todos os pontos estão com coberturas necessárias;
2 Tensionar e amarrar o condutor próximo aos esticadores;
3 Retirar a emenda pré-formada.
Este item não considera instalação e retirada de coberturas, as quais serão remuneradas por mão de obra específica.</t>
  </si>
  <si>
    <t>EMENDA PREFORMADA REDE NU LV (SDMT)</t>
  </si>
  <si>
    <t xml:space="preserve">A atividade contempla:
1 Verificar se todos os pontos estão com coberturas necessárias;
2 Tensionar e amarrar o condutor próximo aos esticadores;
3 Escovar/limpar as extremidades dos condutores;
4 Instalar a emenda pré-formada.
Este item não considera instalação e retirada de coberturas, as quais serão remuneradas por mão de obra específica.
</t>
  </si>
  <si>
    <t>122/2019 - Atual 490 (Avaliar a IT 297/2019, incluindo a emenda automática)</t>
  </si>
  <si>
    <t>A atividade contempla:
1 Verificar se todos os pontos estão com coberturas necessárias;
2 Decapar a cobertura das extremidades do condutor na medida necessária a emenda;
3 Fazer a emenda a compressão;
4 Refazer a isolação do condutor sobre a emenda realizada.
Este item não considera instalação e retirada de coberturas, as quais serão remuneradas por mão de obra específica.</t>
  </si>
  <si>
    <t>EMENDA COMPRESSÃO REDE PROTEGIDO LV (SDMT)</t>
  </si>
  <si>
    <t>A atividade contempla:
1 Verificar se todos os pontos estão com coberturas necessárias;
2 Tracionar os condutores;
3 Escovar/limpar as extremidades dos condutores;
4 Aplicar emenda de compressão com o uso de ferramental adequado.
Este item não considera instalação e retirada de coberturas, as quais serão remuneradas por mão de obra específica.</t>
  </si>
  <si>
    <t>EMENDA COMPRESSÃO REDE NU LV (SDMT)</t>
  </si>
  <si>
    <t xml:space="preserve">A atividade contempla:
1 Verificar se todos os pontos estão com coberturas necessárias; 
2 Fazer abertura do jumper removendo o conector ou seccionando o cabo;
3 Prender as extremidades quando necessário.
Este item não considera instalação e retirada de coberturas, as quais serão remuneradas por mão de obra específica.
</t>
  </si>
  <si>
    <t>ABERTURA JUMPER EM REDE NUA LV POR FASE</t>
  </si>
  <si>
    <t>114/2019</t>
  </si>
  <si>
    <t xml:space="preserve">A atividade contempla:
1 Verificar se todos os pontos estão com coberturas necessárias; 
2 Fazer abertura do jumper removendo o conector ou seccionando o cabo;
3 Prender e isolar as extremidades quando necessário.
Este item não considera instalação e retirada de coberturas, as quais serão remuneradas por mão de obra específica.
</t>
  </si>
  <si>
    <t>ABERTURA JUMPER EM REDE COMPACTA LV (SDMT) POR FASE</t>
  </si>
  <si>
    <t>A atividade contempla:
1 Verificar se todos os pontos estão com coberturas necessárias;
2 Retirar o isolador pilar porcelana.
Este item não considera instalação e retirada de coberturas, as quais serão remuneradas por mão de obra específica.
Esse item será aplicado apenas quando a atividade ocorrer de forma isolada, não sendo somado quando ocorrer instalação/retirada de estrutura.</t>
  </si>
  <si>
    <t>ISOLADOR PILAR PORCELANA &lt;= 34,5kV LV (SDMT)</t>
  </si>
  <si>
    <t xml:space="preserve">A atividade contempla:
1 Verificar se todos os pontos estão com coberturas necessárias;
2 Instalar isolador pilar porcelana.
Este item não considera instalação e retirada de coberturas, as quais serão remuneradas por mão de obra específica.
Esse item será aplicado apenas quando a atividade ocorrer de forma isolada, não sendo somado quando ocorrer instalação/retirada de estrutura.
</t>
  </si>
  <si>
    <t>123/2019</t>
  </si>
  <si>
    <t>A atividade contempla:
1 Verificar se todos os pontos estão com coberturas necessárias;
2 Retirar o isolador pilar polimérico.
Este item não considera instalação e retirada de coberturas, as quais serão remuneradas por mão de obra específica.
Esse item será aplicado apenas quando a atividade ocorrer de forma isolada, não sendo somado quando ocorrer instalação/retirada de estrutura.</t>
  </si>
  <si>
    <t>ISOLADOR PILAR POLIMERICO &lt;= 34,5kV LV (SDMT)</t>
  </si>
  <si>
    <t>A atividade contempla:
1 Verificar se todos os pontos estão com coberturas necessárias;
2 Instalar isolador pilar polimérico.
Este item não considera instalação e retirada de coberturas, as quais serão remuneradas por mão de obra específica.
Esse item será aplicado apenas quando a atividade ocorrer de forma isolada, não sendo somado quando ocorrer instalação/retirada de estrutura.</t>
  </si>
  <si>
    <t>199/2019</t>
  </si>
  <si>
    <t xml:space="preserve">A atividade contempla:
1 Verificar se todos os pontos estão com coberturas necessárias;
2 Remover as conexões da rede, liberando o jumper;
3 Remover o cabo do jumper;
4 Recompor isolação, caso necessário.
Este item não considera instalação e retirada de coberturas, as quais serão remuneradas por mão de obra específica.
</t>
  </si>
  <si>
    <t>JUMPER LV (SDMT) POR FASE</t>
  </si>
  <si>
    <t>A atividade contempla:
1 Verificar se todos os pontos estão com coberturas necessárias;
2 Preparar o cabo adequado para o jumper;
3 Instalar os conectores adequados para o condutor;
4 Recompor isolação, caso necessário.
Este item não considera instalação e retirada de coberturas, as quais serão remuneradas por mão de obra específica.</t>
  </si>
  <si>
    <t>192/2018</t>
  </si>
  <si>
    <t>A atividade contempla:
1 Verificar se todos os pontos estão com coberturas necessárias;
2 Desconectar o religador monofásico da rede primária;
3 Retirar o religador monofásico da base;
4 Retirar o suporte (quando houver) e base do religador monofásico.
Este item não considera instalação e retirada de coberturas, as quais serão remuneradas por mão de obra específica.</t>
  </si>
  <si>
    <t>RELIGADOR 1F &lt; 34,5 kA LV (SDMT)</t>
  </si>
  <si>
    <t xml:space="preserve">A atividade contempla:
1 Verificar se todos os pontos estão com coberturas necessárias;
2 Instalar o suporte (quando houver) e base do religador monofásico;
3 Instalar o religador na base;
4 Ligar o religador monofásico na rede primária.
Este item não considera instalação e retirada de coberturas, as quais serão remuneradas por mão de obra específica.
</t>
  </si>
  <si>
    <t>A atividade contempla:
1 Verificar se todos os pontos estão com coberturas necessárias;
2 Tracionar os condutores;
3 Escovar/limpar as extremidades dos condutores;
4 Aplicar emenda automática, com o uso de ferramental, caso necessário.
Este item não considera instalação e retirada de coberturas, as quais serão remuneradas por mão de obra específica.</t>
  </si>
  <si>
    <t>EMENDA AUTOMÁTICA REDE NU LV (SDMT)</t>
  </si>
  <si>
    <t>A atividade contempla:
1 Verificar se todos os pontos estão com coberturas necessárias;
2 Instalar o bypass na chave;
3 Lubrificar a chave;
4 Testar o funcionamento da chave;
5 Retirar o bypass da chave.
Este item não considera instalação e retirada de coberturas, as quais serão remuneradas por mão de obra específica.</t>
  </si>
  <si>
    <t>LUBRIFICAÇÃO DE CHAVE LV</t>
  </si>
  <si>
    <t xml:space="preserve">A atividade contempla:
1 Verificar se todos os pontos estão com coberturas necessárias;
2 Desconectar e retirar a chave seccionalizadora da estrutura;
3 Remover a fixação para chave seccionalizadora.
Este item não considera instalação e retirada de coberturas, as quais serão remuneradas por mão de obra específica.
</t>
  </si>
  <si>
    <t>CHAVE SECCIONALIZADORA LV (SDMT)</t>
  </si>
  <si>
    <t>A atividade contempla:
1 Verificar se todos os pontos estão com coberturas necessárias;
2 Instalar o suporte para fixação da chave seccionalizadora;
3 Instalar a chave seccionalizadora e conectar na rede.
Este item não considera instalação e retirada de coberturas, as quais serão remuneradas por mão de obra específica.</t>
  </si>
  <si>
    <t>ALÇA &gt; 2/0 LV (SDMT)</t>
  </si>
  <si>
    <t xml:space="preserve">A atividade contempla:
1 Verificar se todos os pontos estão com coberturas apropriadas;
2 Amarrar os cabos para a devida descida ao solo;
3 Soltar as amarrações e alças ou grampos para liberar o cabo;
4 Descer o cabo até o solo e enrolar o cabo.
Este item não considera instalação e retirada de coberturas, as quais serão remuneradas por mão de obra específica.
</t>
  </si>
  <si>
    <t>CONDUTOR PROTEGIDO/ISOLADO &gt; 95MM² AEREO LV (SDMT) POR M</t>
  </si>
  <si>
    <t xml:space="preserve">A atividade contempla:
1 Verificar se todos os pontos estão com coberturas apropriadas;
2 Posicionar a bobina para o lançamento dos cabos;
3 Instalar as bandolas lançando os cabos;
4 Tracionar os cabos nos pontos de ancoragem, com a ferramenta adequada;
5 Instalar amarrações e alças no condutores.
Este item não considera instalação e retirada de coberturas, as quais serão remuneradas por mão de obra específica.
</t>
  </si>
  <si>
    <t>A atividade contempla:
1 Verificar se todos os pontos estão com coberturas necessárias;
2 Retirar o isolador polimérico.
Este item não considera instalação e retirada de coberturas, as quais serão remuneradas por mão de obra específica.
Esse item será aplicado apenas quando a atividade ocorrer de forma isolada, não sendo somado quando ocorrer instalação/retirada de estrutura.</t>
  </si>
  <si>
    <t>ISOLADOR PINO POLIMERICO &lt;= 34,5kV LV (SDMT)</t>
  </si>
  <si>
    <t xml:space="preserve">A atividade contempla:
1 Verificar se todos os pontos estão com coberturas necessárias;
2 Instalar isolador polimérico.
Este item não considera instalação e retirada de coberturas, as quais serão remuneradas por mão de obra específica.
Esse item será aplicado apenas quando a atividade ocorrer de forma isolada, não sendo somado quando ocorrer instalação/retirada de estrutura.
</t>
  </si>
  <si>
    <t xml:space="preserve">A atividade contempla:
1 Verificar se todos os pontos estão com coberturas necessárias;
2 Instalar sistema de tracionamento no poste/estrutura, caso necessário;
3 Tracionar o condutor soltando o isolador de disco;
4 Retirar o isolador isolador de disco;
5 Remover o sistema de tracionamento no poste/estrutura, caso necessário.
Este item não considera instalação e retirada de coberturas, as quais serão remuneradas por mão de obra específica.
Essa atividade contempla apenas os isoladores em estruturas já existentes.
</t>
  </si>
  <si>
    <t>ISOLADOR DE DISCO LV</t>
  </si>
  <si>
    <t xml:space="preserve">A atividade contempla:
1 Verificar se todos os pontos estão com coberturas necessárias;
2 Instalar sistema de tracionamento no poste/estrutura, caso necessário;
3 Instalar isolador de disco; 
4 Tracionar o condutor fixando ao isolador de disco;
5 Remover o sistema de tracionamento no poste/estrutura, caso necessário.
Este item não considera instalação e retirada de coberturas, as quais serão remuneradas por mão de obra específica.
Essa atividade contempla apenas os isoladores em estruturas já existentes.
</t>
  </si>
  <si>
    <t>A atividade contempla:
1 Instalar o bypass para chave fusível;
2 Remover cartucho, elo ou lâmina.
Para chave fusível religadora, esse item já contempla a retirada de 1 à 3 elos.</t>
  </si>
  <si>
    <t>CARTUCHO CHAVE FUSÍVEL/LAMINA LE</t>
  </si>
  <si>
    <t>A atividade contempla:
1 Instalar o cartucho, elo ou lâmina;
2 Remover o bypass para chave fusível.
Para chave fusível religadora, esse item já contempla a instalação de 1 à 3 elos.</t>
  </si>
  <si>
    <t>A atividade contempla:
1 Verificar se todos os pontos estão com coberturas necessárias;
2 Instalar o bypass para chave fusível;
3 Remover o cartucho, elo ou lâmina.
Este item não considera instalação e retirada de coberturas, as quais serão remuneradas por mão de obra específica.
Para chave fusível religadora, esse item já contempla a retirada de 1 à 3 elos.</t>
  </si>
  <si>
    <t>CARTUCHO CHAVE FUSÍVEL/LAMINA LV</t>
  </si>
  <si>
    <t>A atividade contempla:
1 Instalar o cartucho, elo ou lâmina;
2 Remover o bypass para chave fusível.
Para chave fusível religadora, esse item já contempla a instalação de 1 à 3 elos.
Este item não considera instalação e retirada de coberturas, as quais serão remuneradas por mão de obra específica.</t>
  </si>
  <si>
    <t>360/2019</t>
  </si>
  <si>
    <t xml:space="preserve">A atividade contempla:
1 Verificar se todos os pontos estão com coberturas necessárias;
2 Garantir descarregamento dos capacitores, após abertura da chave, conforme tempo indicado;
3 Desconectar a célula da rede;
4 Retirar a célula capacitiva.
Este item não considera instalação e retirada de coberturas, as quais serão remuneradas por mão de obra específica.
</t>
  </si>
  <si>
    <t>CÉLULA CAPACITIVA LV (SDMT)</t>
  </si>
  <si>
    <t>292/2018</t>
  </si>
  <si>
    <t xml:space="preserve">A atividade contempla:
1 Verificar se todos os pontos estão com coberturas necessárias;
2 Instalar a célula capacitiva no suporte;
3 Realizar as conexões junto à rede.
Este item não considera instalação e retirada de coberturas, as quais serão remuneradas por mão de obra específica.
</t>
  </si>
  <si>
    <t>285/2019</t>
  </si>
  <si>
    <t>A atividade contempla:
1 Verificar se todos os pontos estão com coberturas necessárias;
2 Remover a cordoalha a ser substituída;
3 Instalar a nova cordoalha.
Este item não considera instalação e retirada de coberturas, as quais serão remuneradas por mão de obra específica.</t>
  </si>
  <si>
    <t>MANUTENÇÃO ESTAI LV (SDMT)</t>
  </si>
  <si>
    <t>CONDUTOR PROTEGIDO/ISOLADO &lt;= 95MM² AEREO LV (SDMT) POR M</t>
  </si>
  <si>
    <t xml:space="preserve">A atividade contempla:
1 Verificar se todos os pontos estão com coberturas apropriadas;
2 Posicionar a bobina para o lançamento dos cabos;
3 Instalar as bandolas lançando os cabos;
4 Tracionar os cabos nos pontos de ancoragem, com a ferramenta adequada;
5 Instalar amarrações e alças ou grampos no condutores.
Este item não considera instalação e retirada de coberturas, as quais serão remuneradas por mão de obra específica.
</t>
  </si>
  <si>
    <t>A atividade contempla:
1 Verificar se todos os pontos estão com coberturas necessárias;
2 Retirar objeto na estrutura/poste;
3 Em caso de objeto/equipamento de terceiros, entregar à Distribuidora para devolução se houver reclamação.
Este item não considera instalação e retirada de coberturas, as quais serão remuneradas por mão de obra específica.</t>
  </si>
  <si>
    <t>OBJETO ESTRANHO NA ESTRUTURA LV</t>
  </si>
  <si>
    <t>NIVELAMENTO VÃO REDE NU &lt;= 2/0 CA/CAA LV (SDMT) POR M</t>
  </si>
  <si>
    <t>A atividade contempla:
1 Verificar a instalação das coberturas isolantes necessárias; 
2 Retirar o sinalizador de falta;
3 Recompor isolação do cabo, se necessário.
Este item não considera instalação e retirada de coberturas, as quais serão remuneradas por mão de obra específica.</t>
  </si>
  <si>
    <t>SINALIZADOR DE FALTA LV (SDMT)</t>
  </si>
  <si>
    <t>A atividade contempla:
1 Verificar a instalação das coberturas isolantes necessárias; 
2 Retirar cobertura do cabo se necessário;
3 Instalar o sinalizador na rede.
Este item não considera instalação e retirada de coberturas, as quais serão remuneradas por mão de obra específica.</t>
  </si>
  <si>
    <t>A atividade contempla:
1 Verificar se todos os pontos estão com coberturas necessárias;
2 Reapertar conector chapa/cabo.
Este item não considera instalação e retirada de coberturas, as quais serão remuneradas por mão de obra específica.
Este item não é pago em conjunto com a instalação de equipamentos.</t>
  </si>
  <si>
    <t>REAPERTO CONECTOR LV</t>
  </si>
  <si>
    <t>A atividade contempla:
1 Retirar cabos do conjunto;
2 Retirar conjunto de elevação/suspensão.</t>
  </si>
  <si>
    <t>CONJUNTO DE ELEVAÇÃO/SUSPENSÃO</t>
  </si>
  <si>
    <t>A atividade contempla:
1 Instalar conjunto de elevação/suspensão;
2 Passar cabos para o conjunto.</t>
  </si>
  <si>
    <t>A atividade contempla:
1 Instalar suporte;
2 Içar e instalar equipamento no poste.</t>
  </si>
  <si>
    <t>MEDIÇÃO ENCAPSULADO</t>
  </si>
  <si>
    <t>A atividade contempla:
1 Verificar se todos os pontos estão com coberturas necessárias;
2 Desamarrar condutores;
3 Retirar isoladores bastão/suspenção e porcas olhais;
4 Remover as cruzetas nos 2 postes;
5 Retirar as ferragens de fixação junto aos postes.
Este item não considera instalação e retirada de coberturas, as quais serão remuneradas por mão de obra específica.</t>
  </si>
  <si>
    <t xml:space="preserve">ESTRUTURA HT LV(SDMT) </t>
  </si>
  <si>
    <t>A atividade contempla:
1 Verificar se todos os pontos estão com coberturas necessárias;
2 Instalar as ferragens de fixação junto aos 2 postes quando necessário;
3 Instalar e fixar as extremidades das cruzetas em ambos os postes;
4 Instalar porcas olhais e isoladores bastão/suspenção;
5 Amarrar condutores.
Este item não considera instalação e retirada de coberturas, as quais serão remuneradas por mão de obra específica.</t>
  </si>
  <si>
    <t>CONDUTOR NU &gt; 2/0 AEREO LV (SDMT) POR M</t>
  </si>
  <si>
    <t>040/2020</t>
  </si>
  <si>
    <t xml:space="preserve">A atividade contempla:
1 Verificar se todos os pontos estão com coberturas necessárias;
2 Desconectar e retirar a chave fusível da estrutura;
3 Remover a fixação para chave fusível.
Este item não considera instalação e retirada de coberturas, as quais serão remuneradas por mão de obra específica.
</t>
  </si>
  <si>
    <t>CHAVE FUSIVEL &lt;= 34,5 kV LV (SDMT) POR FASE</t>
  </si>
  <si>
    <t>A atividade contempla:
1 Verificar se todos os pontos estão com coberturas necessárias;
2 Instalar o suporte para fixação da chave;
3 Instalar a chave fusível e conectar na rede.
Este item não considera instalação e retirada de coberturas, as quais serão remuneradas por mão de obra específica.</t>
  </si>
  <si>
    <t xml:space="preserve">A atividade contempla:
1 Verificar se todos os pontos estão com coberturas necessárias;
2 Retirar a antena de comunicação junto ao poste, caso necessário;
3 Desconectar o religador trifásico da rede primária e do cordão umbilical do controle;
4 Retirar o religador trifásico do suporte;
5 Retirar o suporte do religador trifásico.
Este item não considera instalação e retirada de coberturas, as quais serão remuneradas por mão de obra específica.
</t>
  </si>
  <si>
    <t>RELIGADOR 3F &gt;= 34,5 KA LV (SDMT)</t>
  </si>
  <si>
    <t>A atividade contempla:
1 Verificar se todos os pontos estão com coberturas apropriadas;
2 Desamarrar os condutores dos isoladores;
3 Retirar os pinos e isoladores de pino e bastão;
4 Retirar as cruzetas poliméricas ou de madeira.
Este item não considera instalação e retirada de coberturas, as quais serão remuneradas por mão de obra específica.</t>
  </si>
  <si>
    <t>ESTRUTURA B4E POLIMÉRICA/MADEIRA/METÁLICA 3M LV (SDMT)</t>
  </si>
  <si>
    <t>A atividade contempla:
1 Verificar se todos os pontos estão com coberturas apropriadas;
2 Instalar no poste as cintas e fixações;
3 Instalar as cruzetas;
4 Instalar os olhais;
5 Instalar os ganchos e isoladores de suspensão;
6 Instalar pino(s) e isolador(es) de pino, caso necessário;
7 Amarrar condutores.
Este item não considera instalação e retirada de coberturas, as quais serão remuneradas por mão de obra específica.</t>
  </si>
  <si>
    <t>RELIGADOR 1F &gt;= 34,5 KA LV (SDMT)</t>
  </si>
  <si>
    <t>A atividade contempla:
1 Verificar se todos os pontos estão com coberturas necessárias;
2 Instalar o suporte (quando houver) e base do religador monofásico;
3 Instalar o religador na base;
4 Ligar o religador monofásico na rede primária.
Este item não considera instalação e retirada de coberturas, as quais serão remuneradas por mão de obra específica.</t>
  </si>
  <si>
    <t>193/2018; 171/2019</t>
  </si>
  <si>
    <t>ESTRUTURA B4/M4/N4/T4 POLIMÉRICA/MADEIRA LV (SDMT)</t>
  </si>
  <si>
    <t>193/2018 ; 076/2019</t>
  </si>
  <si>
    <t>193/2018; 171/2019; 036/2021</t>
  </si>
  <si>
    <t>ESTRUTURA B4/M4/N4/T4 CONCRETO LV (SDMT)</t>
  </si>
  <si>
    <t>ESTRUTURA B3E POLIMÉRICA/MADEIRA/METÁLICA 3M LV (SDMT)</t>
  </si>
  <si>
    <r>
      <t>ESTRUTURA B32/M32/N32/T32 POLIMÉRICA/MADEIRA/</t>
    </r>
    <r>
      <rPr>
        <sz val="11"/>
        <color rgb="FFFF0000"/>
        <rFont val="Aptos Narrow"/>
        <family val="2"/>
        <scheme val="minor"/>
      </rPr>
      <t>CONCRETO</t>
    </r>
    <r>
      <rPr>
        <sz val="11"/>
        <rFont val="Aptos Narrow"/>
        <family val="2"/>
        <scheme val="minor"/>
      </rPr>
      <t xml:space="preserve"> LV (SDMT)</t>
    </r>
  </si>
  <si>
    <t>ESTRUTURA B3/M3/N3/T3 POLIMÉRICA/MADEIRA LV (SDMT)</t>
  </si>
  <si>
    <t>170/2019; 021/2021</t>
  </si>
  <si>
    <t>ESTRUTURA B3/M3/N3/T3 CONCRETO LV (SDMT)</t>
  </si>
  <si>
    <t>A atividade contempla:
1 Verificar a instalação das coberturas isolantes necessárias;
2 Travar poste no guindauto;
3 Liberar base do poste;
4 Retirar poste; 
5 Tapar e apiloar buracos.
Este item não considera instalação e retirada de coberturas, as quais serão remuneradas por mão de obra específica.</t>
  </si>
  <si>
    <t>POSTE DE MADEIRA &lt;= 13M LV</t>
  </si>
  <si>
    <t>A atividade contempla:
1 Verificar se todos os pontos estão com coberturas apropriadas;
2 Desamarrar os condutores dos isoladores;
3 Retirar isoladores, pinos e fixações;
4 Retirar as cruzetas polimérica ou de madeira.
Este item não considera instalação e retirada de coberturas, as quais serão remuneradas por mão de obra específica.</t>
  </si>
  <si>
    <t>ESTRUTURA B2E POLIMÉRICA/MADEIRA/METÁLICA 3M LV (SDMT)</t>
  </si>
  <si>
    <t>A atividade contempla:
1 Verificar se todos os pontos estão com coberturas apropriadas;
2 Instalar as cruzetas polimérica ou de madeira;
3 Instalar pinos e isoladores e amarrar os cabos.
Este item não considera instalação e retirada de coberturas, as quais serão remuneradas por mão de obra específica.</t>
  </si>
  <si>
    <t>Antigas 169/2019; 035/2021, Atuais  0524 e 0913</t>
  </si>
  <si>
    <t>A atividade contempla:
1 Verificar se todos os pontos estão com coberturas apropriadas;
2 Desamarrar os condutores dos isoladores;
3 Retirar isoladores, pinos, fixações e amarrar os cabos;
4 Retirar as cruzetas polimérica ou de madeira.
Este item não considera instalação e retirada de coberturas, as quais serão remuneradas por mão de obra específica.</t>
  </si>
  <si>
    <t>ESTRUTURA B2/ME2/N2/T2 POLIMÉRICA/MADEIRA LV (SDMT)</t>
  </si>
  <si>
    <t>Antigas 169/2019; 074/2019, Atuais 0524 e 0443</t>
  </si>
  <si>
    <t>Antigas 169/2019; 035/2021, Atuais , 0913</t>
  </si>
  <si>
    <t>A atividade contempla:
1 Verificar se todos os pontos estão com coberturas apropriadas;
2 Desamarrar os condutores dos isoladores;
3 Retirar isoladores, pinos e fixações;
4 Retirar as cruzetas de concreto.
Este item não considera instalação e retirada de coberturas, as quais serão remuneradas por mão de obra específica.</t>
  </si>
  <si>
    <t>ESTRUTURA B2/ME2/N2/T2 CONCRETO LV (SDMT)</t>
  </si>
  <si>
    <t>Antiga 074/2019, Nova 443</t>
  </si>
  <si>
    <t>A atividade contempla:
1 Verificar se todos os pontos estão com coberturas apropriadas;
2 Instalar as cruzetas de concreto;
3 Instalar pinos e isoladores e amarrar os cabo.
Este item não considera instalação e retirada de coberturas, as quais serão remuneradas por mão de obra específica.</t>
  </si>
  <si>
    <t>A atividade contempla:
1 Verificar se todos os pontos estão com coberturas apropriadas;
2 Desamarrar os condutores dos isoladores;
3 Retirar isoladores, pinos, fixações e amarrar os cabos;
4 Retirar a cruzeta polimérica ou de madeira.
Este item não considera instalação e retirada de coberturas, as quais serão remuneradas por mão de obra específica.</t>
  </si>
  <si>
    <t>ESTRUTURA B1E POLIMÉRICA/MADEIRA/METÁLICA 3M LV (SDMT)</t>
  </si>
  <si>
    <t>A atividade contempla:
1 Verificar se todos os pontos estão com coberturas apropriadas;
2 Instalar a cruzeta polimérica ou de madeira;
3 Instalar pinos e isoladores e amarrar os cabos.
Este item não considera instalação e retirada de coberturas, as quais serão remuneradas por mão de obra específica.</t>
  </si>
  <si>
    <t>POSTE DE FIBRA DE VIDRO &lt;= 13M LV</t>
  </si>
  <si>
    <t>A atividade contempla:
1 Montar secções do poste caso seja bipartido;
1 Instalar cobertura no poste;
3 Verificar a instalação das demais coberturas isolantes necessárias;
4 Içar poste do caminhão ou do solo;
5 Colocar poste na cava;
6 Aprumar e apiloar poste.
Este item não considera instalação e retirada das demais coberturas (exceto poste), as quais serão remuneradas por mão de obra específica.</t>
  </si>
  <si>
    <t>Antiga 130/2019 ; 168/2019, Atutal 0498</t>
  </si>
  <si>
    <t>A atividade contempla:
1 Verificar se todos os pontos estão com coberturas apropriadas;
2 Desamarrar os condutores da estrutura;
3 Retirar isoladores, pinos, fixações e amarrar os cabos;
4 Retirar a cruzeta polimérica ou de madeira.
Este item não considera instalação e retirada de coberturas, as quais serão remuneradas por mão de obra específica.</t>
  </si>
  <si>
    <t>ESTRUTURA B1/M1/N1/T1 POLIMÉRICA/MADEIRA LV (SDMT)</t>
  </si>
  <si>
    <t>Antiga 130/2019; 168/2019; 033/2021, Atutal 0498</t>
  </si>
  <si>
    <t>A atividade contempla:
1 Verificar se todos os pontos estão com coberturas apropriadas;
2 Desamarrar os condutores da estrutura;
3 Retirar isoladores, pinos, fixações e amarrar os cabos;
4 Retirar a cruzeta de concreto.
Este item não considera instalação e retirada de coberturas, as quais serão remuneradas por mão de obra específica.</t>
  </si>
  <si>
    <t>ESTRUTURA B1/M1/N1/T1 CONCRETO LV (SDMT)</t>
  </si>
  <si>
    <t>Antiga 130/2019; 073/2019; 168/2019, Atutal  0498</t>
  </si>
  <si>
    <t>A atividade contempla:
1 Verificar se todos os pontos estão com coberturas apropriadas;
2 Instalar a cruzeta de concreto;
3 Instalar pinos e isoladores e amarrar os cabos.
Este item não considera instalação e retirada de coberturas, as quais serão remuneradas por mão de obra específica.</t>
  </si>
  <si>
    <t>ALÇA &lt;= 2/0 LV (SDMT)</t>
  </si>
  <si>
    <t>A atividade contempla:
1 Verificar se todos os pontos estão com coberturas necessárias;
2 Instalar bypass quando necessário;
3 Retirar condutor do conector chapa;
4 Retirar conector do equipamento; 
5 Isolar condutor quando necessário;
6 Retirar bypass quando necessário.
Este item não considera instalação e retirada de coberturas, as quais serão remuneradas por mão de obra específica.</t>
  </si>
  <si>
    <t>CONECTOR CHAPA/CABO/ESTRANGULAR LV (SDMT)</t>
  </si>
  <si>
    <t>A atividade contempla:
1 Verificar se todos os pontos estão com coberturas necessárias;
2 Instalar bypass quando necessário;
3 Decapar condutor quando necessário;
4 Instalar condutor no conector e apertar;
5 Instalar conector no equipamento e apertar; 
6 Retirar bypass quando necessário.
Este item não considera instalação e retirada de coberturas, as quais serão remuneradas por mão de obra específica.</t>
  </si>
  <si>
    <t>009/2021</t>
  </si>
  <si>
    <t xml:space="preserve">A atividade contempla:
1 Verificar se todos os pontos estão com coberturas necessárias;
2 Instalar o bypass na rede, se necessário;
3 Retirar o estribo do condutor;
4 Recompor a isolação do cabo, caso necessário.
Este item não considera instalação e retirada de coberturas, as quais serão remuneradas por mão de obra específica.
</t>
  </si>
  <si>
    <t>ESTRIBO LV POR UN</t>
  </si>
  <si>
    <t>021/2020</t>
  </si>
  <si>
    <t>A atividade contempla:
1 Verificar se todos os pontos estão com coberturas necessárias;
2 Desencapar o cabo, caso necessário;
3 Limpar o condutor;
4 Instalar o estribo com o conector adequado;
5 Retirar o bypass na rede, caso necessário;
6 Recompor a isolação do cabo, caso necessário.
Este item não considera instalação e retirada de coberturas, as quais serão remuneradas por mão de obra específica.</t>
  </si>
  <si>
    <t>125/2019</t>
  </si>
  <si>
    <t xml:space="preserve">A atividade contempla:
1 Verificar se todos os pontos estão com coberturas necessárias;
2 Instalar sistema de tracionamento no poste/estrutura, caso necessário;
3 Tracionar o condutor soltando o isolador bastão polimérico;
4 Retirar o isolador bastão polimérico;
5 Remover o sistema de tracionamento no poste/estrutura, caso necessário.
Este item não considera instalação e retirada de coberturas, as quais serão remuneradas por mão de obra específica.
Esse item será aplicado apenas quando a atividade ocorrer de forma isolada, não sendo somado quando ocorrer instalação/retirada de estrutura.
</t>
  </si>
  <si>
    <t>ISOLADOR BASTÃO POLIMERICO &lt;= 34,5kV LV (SDMT)</t>
  </si>
  <si>
    <t xml:space="preserve">A atividade contempla:
1 Verificar se todos os pontos estão com coberturas necessárias;
2 Instalar sistema de tracionamento no poste/estrutura, caso necessário;
3 Instalar isolador bastão polimérico; 
4 Tracionar o condutor fixando ao isolador bastão polimérico;
5 Remover o sistema de tracionamento no poste/estrutura, caso necessário.
Este item não considera instalação e retirada de coberturas, as quais serão remuneradas por mão de obra específica.
Esse item será aplicado apenas quando a atividade ocorrer de forma isolada, não sendo somado quando ocorrer instalação/retirada de estrutura.
</t>
  </si>
  <si>
    <r>
      <t xml:space="preserve">NIVELAMENTO VÃO REDE PROTEGIDO &gt;= 120MM </t>
    </r>
    <r>
      <rPr>
        <sz val="11"/>
        <color rgb="FFFF0000"/>
        <rFont val="Aptos Narrow"/>
        <family val="2"/>
        <scheme val="minor"/>
      </rPr>
      <t>LV</t>
    </r>
    <r>
      <rPr>
        <sz val="11"/>
        <rFont val="Aptos Narrow"/>
        <family val="2"/>
        <scheme val="minor"/>
      </rPr>
      <t xml:space="preserve"> (SDMT) POR M</t>
    </r>
  </si>
  <si>
    <t xml:space="preserve">A atividade contempla:
1 Abrir as chaves de entrada e saída do Big Jumper;
2 Desconectar os cabos do Big Jumper nas duas extremidades do trecho trabalhado;
3 Desconectar aterramento temporário;
4 Remover a cruzeta auxiliar e chaves provisória no poste onde foi feita a conexão.
Este item não considera instalação e retirada de coberturas, as quais serão remuneradas por mão de obra específica.
</t>
  </si>
  <si>
    <t>DESCONECTAR BIG JUMPER</t>
  </si>
  <si>
    <t>222/2018, 701/2019 e 673/209</t>
  </si>
  <si>
    <t>A atividade contempla:
1 Fazer ensaio de resistência de isolamento no cabo do Big Jumper;
2 Verificar se as coberturas isolantes estão instaladas nos condutores, no poste e ferragens;
3 Instalar a cruzeta auxiliar e chaves provisórias no poste onde será feita a conexão;
4 Conectar os cabos do Big Jumper nas duas extremidades do trecho trabalhado;
5 Aterrar as muflas dos cabos do Big Jumper em uma das suas extremidades;
6 Fechar as chaves de entrada do Big jumper;
7 Identificar o faseamento;
8 Fechar chaves de saída do Big jumper.
Este item não considera instalação e retirada de coberturas, as quais serão remuneradas por mão de obra específica.</t>
  </si>
  <si>
    <t>CONECTAR BIG JUMPER</t>
  </si>
  <si>
    <t>Toda e qualquer poda que não esteja em conformidade com as especificações técnicas previstas na NDU ou nas Instruções Técnicas (ITs), desde que comprovada pelo prestador de serviço e com aprovação expressa, formal e restrita do gerente responsável pelo contrato.</t>
  </si>
  <si>
    <t>PODA ESPECIAL</t>
  </si>
  <si>
    <t>EXECUTAR</t>
  </si>
  <si>
    <t>Esse item será aplicado para pagamento quando utilizados recursos adicionais para realização do serviço, seja por dificuldades regionais não mapeadas inicialmente e previstos em contrato, por pedidos excepcionais da Distribuidora, tais como balsa, barco,trator, veículo reboque, quadriciclos, guindaste etc.
A quantidade lançada é o fator multiplicador até que alcance o valor necessário.</t>
  </si>
  <si>
    <t>UTILIZAÇÃODE RECURSOS EXTRAORDINÁRIOS (DESLOCAMENTO)</t>
  </si>
  <si>
    <t>Esse item será aplicado para pagamento do custo de utilização do gerador quando for solicitado: locação, abastecimento, manutenção e monitoramento, se necessário.
A quantidade lançada é o fator multiplicador até que alcance o valor necessário.</t>
  </si>
  <si>
    <t>UTILIZAÇÃO DE GERADOR</t>
  </si>
  <si>
    <t>Esse item será aplicado para pagamento da diferença entre o valor reajustado e o valor medido, quando não for possível reajustar o preço contratual no mês de aniversário do contrato.
A quantidade lançada é o fator multiplicador até que alcance o valor necessário.</t>
  </si>
  <si>
    <t>RETROATIVO ADEQUAÇÃO DE US DO CONTRATO</t>
  </si>
  <si>
    <r>
      <t xml:space="preserve">Esse item será aplicado para pagamento quando a equipe for acionada para atendimento  à demanda fora da região do contrato. </t>
    </r>
    <r>
      <rPr>
        <sz val="11"/>
        <color rgb="FFFF0000"/>
        <rFont val="Aptos Narrow"/>
        <family val="2"/>
        <scheme val="minor"/>
      </rPr>
      <t>[A obras que receberem essa atividade o municipio inclusão na medição do sistema siago deverá diferente do municipio de atuação do fornecedor conforme descrito no contrato]</t>
    </r>
    <r>
      <rPr>
        <sz val="11"/>
        <rFont val="Aptos Narrow"/>
        <family val="2"/>
        <scheme val="minor"/>
      </rPr>
      <t xml:space="preserve">
A quantidade lançada é o fator multiplicador até que alcance o valor necessário.</t>
    </r>
  </si>
  <si>
    <t>DIÁRIA HOSPÉDAGEM E ALIMENTAÇÃO FORA REGIONAL</t>
  </si>
  <si>
    <r>
      <t xml:space="preserve">Esse item será aplicado quando a equipe formanda com até 2 colaboradores for acionada para atendimento à demanda fora da região do contrato e deverá ser lançada na quantidade de KM percorridos de ida e volta (Velocidade 65km/h). Os deslocamentos entre os atendimentos não são considerados.  </t>
    </r>
    <r>
      <rPr>
        <sz val="11"/>
        <color rgb="FFFF0000"/>
        <rFont val="Aptos Narrow"/>
        <family val="2"/>
        <scheme val="minor"/>
      </rPr>
      <t>[A obras que receberem essa atividade o municipio inclusão na medição do sistema siago deverá diferente do municipio de atuação do fornecedor conforme descrito no contrato]</t>
    </r>
  </si>
  <si>
    <t>DESLOCAMENTO DA EQUIPE LEVE FORA REGIONAL POR KM</t>
  </si>
  <si>
    <r>
      <t xml:space="preserve">Esse item será aplicado quando a equipe formanda com até 4 colaboradores for acionada para atendimento à demanda fora da região do contrato e deverá ser lançada na quantidade de KM percorridos de ida e volta (Velocidade 60km/h). Os deslocamentos entre os atendimentos não são considerados.  </t>
    </r>
    <r>
      <rPr>
        <sz val="11"/>
        <color rgb="FFFF0000"/>
        <rFont val="Aptos Narrow"/>
        <family val="2"/>
        <scheme val="minor"/>
      </rPr>
      <t>[A obras que receberem essa atividade o municipio inclusão na medição do sistema siago deverá diferente do municipio de atuação do fornecedor conforme descrito no contrato]</t>
    </r>
  </si>
  <si>
    <t>DESLOCAMENTO DA EQUIPE MÉDIA FORA REGIONAL POR KM</t>
  </si>
  <si>
    <r>
      <t xml:space="preserve">Esse item será aplicado quando a equipe formanda com até 7 colaboradores for acionada para atendimento à demanda fora da região do contrato e deverá ser lançada na quantidade de KM percorridos de ida e volta (velocidade 45km/h). Os deslocamentos entre os atendimentos não são considerados.  </t>
    </r>
    <r>
      <rPr>
        <sz val="11"/>
        <color rgb="FFFF0000"/>
        <rFont val="Aptos Narrow"/>
        <family val="2"/>
        <scheme val="minor"/>
      </rPr>
      <t>[A obras que receberem essa atividade o municipio inclusão na medição do sistema siago deverá ser diferente do municipio de atuação do fornecedor conforme descrito no contrato]</t>
    </r>
  </si>
  <si>
    <t>DESLOCAMENTO DA EQUIPE PESADA FORA REGIONAL POR KM</t>
  </si>
  <si>
    <t>C&amp;M LM / LV</t>
  </si>
  <si>
    <r>
      <t xml:space="preserve">Esse item será aplicado quando a equipe  for acionada para atendimento emergencial, para remunerar o tempo de mobilizar e desmobilizar recursos. Deve ser considerado somente UM lançamento por acionamento e é aplicado apenas para equipes de C&amp;M, C&amp;M LV e Poda. </t>
    </r>
    <r>
      <rPr>
        <sz val="11"/>
        <color rgb="FFFF0000"/>
        <rFont val="Aptos Narrow"/>
        <family val="2"/>
        <scheme val="minor"/>
      </rPr>
      <t>[A obras que receberem essa atividade deverão estar com flag obra emergencial ativo]</t>
    </r>
  </si>
  <si>
    <t>MOBILIZAÇÃO E DESMOBILIZAÇÃO EQUIPE</t>
  </si>
  <si>
    <t>DESCRIÇÃO BREVE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</si>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</sst>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  <numFmt numFmtId="165" formatCode="0.0000"/>
    <numFmt numFmtId="166" formatCode="0.0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trike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2CD23"/>
        <bgColor indexed="64"/>
      </patternFill>
    </fill>
    <fill>
      <patternFill patternType="solid">
        <fgColor rgb="FF009FC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6">
    <xf numFmtId="0" fontId="0" fillId="0" borderId="0" xfId="0"/>
    <xf numFmtId="0" fontId="2" fillId="2" borderId="1" xfId="1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1" applyNumberFormat="1" applyFont="1" applyFill="1" applyBorder="1" applyAlignment="1">
      <alignment horizontal="left" vertical="center"/>
    </xf>
    <xf numFmtId="2" fontId="2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0" fillId="0" borderId="1" xfId="1" applyNumberFormat="1" applyFont="1" applyFill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vertical="center" wrapText="1"/>
    </xf>
    <xf numFmtId="43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44" fontId="0" fillId="0" borderId="0" xfId="2" applyFont="1" applyFill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center" wrapText="1"/>
    </xf>
    <xf numFmtId="164" fontId="0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6" fillId="0" borderId="9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vertical="top"/>
    </xf>
    <xf numFmtId="2" fontId="0" fillId="0" borderId="1" xfId="1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2" fontId="2" fillId="6" borderId="1" xfId="0" applyNumberFormat="1" applyFont="1" applyFill="1" applyBorder="1" applyAlignment="1">
      <alignment horizontal="left" vertical="top" wrapText="1"/>
    </xf>
    <xf numFmtId="0" fontId="2" fillId="5" borderId="1" xfId="1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1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top" wrapText="1"/>
    </xf>
    <xf numFmtId="0" fontId="0" fillId="9" borderId="2" xfId="0" applyFill="1" applyBorder="1" applyAlignment="1">
      <alignment horizontal="left" vertical="center" wrapText="1"/>
    </xf>
    <xf numFmtId="0" fontId="0" fillId="9" borderId="1" xfId="1" applyNumberFormat="1" applyFont="1" applyFill="1" applyBorder="1" applyAlignment="1">
      <alignment horizontal="center" vertical="center"/>
    </xf>
    <xf numFmtId="2" fontId="0" fillId="9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4" fillId="9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44" fontId="2" fillId="6" borderId="0" xfId="2" applyFont="1" applyFill="1" applyBorder="1" applyAlignment="1">
      <alignment horizontal="center" vertical="center" wrapText="1"/>
    </xf>
    <xf numFmtId="44" fontId="0" fillId="0" borderId="0" xfId="2" applyFont="1" applyFill="1" applyBorder="1" applyAlignment="1">
      <alignment horizontal="center" vertical="center"/>
    </xf>
    <xf numFmtId="44" fontId="0" fillId="0" borderId="0" xfId="2" applyFont="1" applyAlignment="1">
      <alignment vertical="center"/>
    </xf>
    <xf numFmtId="44" fontId="2" fillId="6" borderId="0" xfId="2" applyFont="1" applyFill="1" applyBorder="1" applyAlignment="1">
      <alignment horizontal="left" vertical="top" wrapText="1"/>
    </xf>
    <xf numFmtId="44" fontId="0" fillId="0" borderId="0" xfId="2" applyFont="1" applyFill="1" applyBorder="1" applyAlignment="1">
      <alignment horizontal="center" vertical="top"/>
    </xf>
    <xf numFmtId="44" fontId="0" fillId="0" borderId="0" xfId="2" applyFont="1" applyAlignment="1">
      <alignment vertical="top"/>
    </xf>
    <xf numFmtId="0" fontId="11" fillId="0" borderId="0" xfId="0" applyFont="1" applyAlignment="1">
      <alignment vertical="top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en404009\AppData\Local\Temp\d60a9738-1fc0-4f0f-ad71-e082a8a1d6c4_OneDrive_1_17-09-2025.zip.6c4\TME%20Lista%20Padr&#227;o%20PDS%20(STC%20-%20PLF%20-%20CM%20-%20PROJETOS%20-%20ESPECIAIS)%20-%2004-09-24.xlsx" TargetMode="External"/><Relationship Id="rId2" Type="http://schemas.microsoft.com/office/2019/04/relationships/externalLinkLongPath" Target="/Users/en404009/AppData/Local/Temp/d60a9738-1fc0-4f0f-ad71-e082a8a1d6c4_OneDrive_1_17-09-2025.zip.6c4/TME%20Lista%20Padr&#227;o%20PDS%20(STC%20-%20PLF%20-%20CM%20-%20PROJETOS%20-%20ESPECIAIS)%20-%2004-09-24.xlsx?158A47FE" TargetMode="External"/><Relationship Id="rId1" Type="http://schemas.openxmlformats.org/officeDocument/2006/relationships/externalLinkPath" Target="file:///\\158A47FE\TME%20Lista%20Padr&#227;o%20PDS%20(STC%20-%20PLF%20-%20CM%20-%20PROJETOS%20-%20ESPECIAIS)%20-%2004-09-24.xlsx" TargetMode="External"/><Relationship Id="rId4" Type="http://schemas.openxmlformats.org/officeDocument/2006/relationships/externalLinkPath" Target="../../../../../../Users/en404009/AppData/Local/Temp/d60a9738-1fc0-4f0f-ad71-e082a8a1d6c4_OneDrive_1_17-09-2025.zip.6c4/TME%20Lista%20Padr&#227;o%20PDS%20(STC%20-%20PLF%20-%20CM%20-%20PROJETOS%20-%20ESPECIAIS)%20-%2004-09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PAGAMENTOS ESPECIAIS"/>
      <sheetName val="Atividades Especiais"/>
      <sheetName val="siago 07-08-24"/>
      <sheetName val="Questinamento ESE"/>
      <sheetName val="STC"/>
      <sheetName val="PROJETOS"/>
      <sheetName val="C&amp;M (LV) (2)"/>
      <sheetName val="C&amp;M (LM)"/>
      <sheetName val="Todos_codigos"/>
      <sheetName val="C&amp;M (LV)"/>
      <sheetName val="P&amp;LF"/>
      <sheetName val="TME AGREGA PROCESSO"/>
      <sheetName val="Uso Mútuo"/>
      <sheetName val="Incremental"/>
      <sheetName val="G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Cód_SIAGO</v>
          </cell>
        </row>
        <row r="2">
          <cell r="B2">
            <v>60008</v>
          </cell>
        </row>
        <row r="3">
          <cell r="B3">
            <v>60025</v>
          </cell>
        </row>
        <row r="4">
          <cell r="B4">
            <v>60172</v>
          </cell>
        </row>
        <row r="5">
          <cell r="B5">
            <v>60039</v>
          </cell>
        </row>
        <row r="6">
          <cell r="B6">
            <v>60039</v>
          </cell>
        </row>
        <row r="7">
          <cell r="B7">
            <v>60041</v>
          </cell>
        </row>
        <row r="8">
          <cell r="B8">
            <v>60041</v>
          </cell>
        </row>
        <row r="9">
          <cell r="B9">
            <v>60042</v>
          </cell>
        </row>
        <row r="10">
          <cell r="B10">
            <v>60042</v>
          </cell>
        </row>
        <row r="11">
          <cell r="B11">
            <v>60053</v>
          </cell>
        </row>
        <row r="12">
          <cell r="B12">
            <v>60053</v>
          </cell>
        </row>
        <row r="13">
          <cell r="B13">
            <v>60061</v>
          </cell>
        </row>
        <row r="14">
          <cell r="B14">
            <v>60061</v>
          </cell>
        </row>
        <row r="15">
          <cell r="B15">
            <v>60063</v>
          </cell>
        </row>
        <row r="16">
          <cell r="B16">
            <v>60063</v>
          </cell>
        </row>
        <row r="17">
          <cell r="B17">
            <v>60064</v>
          </cell>
        </row>
        <row r="18">
          <cell r="B18">
            <v>60064</v>
          </cell>
        </row>
        <row r="19">
          <cell r="B19">
            <v>60065</v>
          </cell>
        </row>
        <row r="20">
          <cell r="B20">
            <v>60065</v>
          </cell>
        </row>
        <row r="21">
          <cell r="B21">
            <v>60070</v>
          </cell>
        </row>
        <row r="22">
          <cell r="B22">
            <v>60070</v>
          </cell>
        </row>
        <row r="23">
          <cell r="B23">
            <v>60075</v>
          </cell>
        </row>
        <row r="24">
          <cell r="B24">
            <v>60075</v>
          </cell>
        </row>
        <row r="25">
          <cell r="B25">
            <v>60078</v>
          </cell>
        </row>
        <row r="26">
          <cell r="B26">
            <v>60078</v>
          </cell>
        </row>
        <row r="27">
          <cell r="B27">
            <v>60079</v>
          </cell>
        </row>
        <row r="28">
          <cell r="B28">
            <v>60082</v>
          </cell>
        </row>
        <row r="29">
          <cell r="B29">
            <v>60082</v>
          </cell>
        </row>
        <row r="30">
          <cell r="B30">
            <v>60086</v>
          </cell>
        </row>
        <row r="31">
          <cell r="B31">
            <v>60086</v>
          </cell>
        </row>
        <row r="32">
          <cell r="B32">
            <v>60090</v>
          </cell>
        </row>
        <row r="33">
          <cell r="B33">
            <v>60094</v>
          </cell>
        </row>
        <row r="34">
          <cell r="B34">
            <v>60094</v>
          </cell>
        </row>
        <row r="35">
          <cell r="B35">
            <v>60098</v>
          </cell>
        </row>
        <row r="36">
          <cell r="B36">
            <v>60098</v>
          </cell>
        </row>
        <row r="37">
          <cell r="B37">
            <v>60102</v>
          </cell>
        </row>
        <row r="38">
          <cell r="B38">
            <v>60102</v>
          </cell>
        </row>
        <row r="39">
          <cell r="B39">
            <v>60103</v>
          </cell>
        </row>
        <row r="40">
          <cell r="B40">
            <v>60103</v>
          </cell>
        </row>
        <row r="41">
          <cell r="B41">
            <v>60106</v>
          </cell>
        </row>
        <row r="42">
          <cell r="B42">
            <v>60106</v>
          </cell>
        </row>
        <row r="43">
          <cell r="B43">
            <v>60107</v>
          </cell>
        </row>
        <row r="44">
          <cell r="B44">
            <v>60107</v>
          </cell>
        </row>
        <row r="45">
          <cell r="B45">
            <v>60140</v>
          </cell>
        </row>
        <row r="46">
          <cell r="B46">
            <v>60140</v>
          </cell>
        </row>
        <row r="47">
          <cell r="B47">
            <v>60157</v>
          </cell>
        </row>
        <row r="48">
          <cell r="B48">
            <v>60157</v>
          </cell>
        </row>
        <row r="49">
          <cell r="B49">
            <v>60220</v>
          </cell>
        </row>
        <row r="50">
          <cell r="B50">
            <v>60220</v>
          </cell>
        </row>
        <row r="51">
          <cell r="B51">
            <v>60270</v>
          </cell>
        </row>
        <row r="52">
          <cell r="B52">
            <v>60310</v>
          </cell>
        </row>
        <row r="53">
          <cell r="B53">
            <v>60310</v>
          </cell>
        </row>
        <row r="54">
          <cell r="B54">
            <v>60400</v>
          </cell>
        </row>
        <row r="55">
          <cell r="B55">
            <v>60600</v>
          </cell>
        </row>
        <row r="56">
          <cell r="B56">
            <v>60600</v>
          </cell>
        </row>
        <row r="57">
          <cell r="B57">
            <v>62000</v>
          </cell>
        </row>
        <row r="58">
          <cell r="B58">
            <v>62008</v>
          </cell>
        </row>
        <row r="59">
          <cell r="B59">
            <v>62024</v>
          </cell>
        </row>
        <row r="60">
          <cell r="B60">
            <v>62024</v>
          </cell>
        </row>
        <row r="61">
          <cell r="B61">
            <v>62027</v>
          </cell>
        </row>
        <row r="62">
          <cell r="B62">
            <v>62029</v>
          </cell>
        </row>
        <row r="63">
          <cell r="B63">
            <v>62029</v>
          </cell>
        </row>
        <row r="64">
          <cell r="B64">
            <v>62031</v>
          </cell>
        </row>
        <row r="65">
          <cell r="B65">
            <v>62031</v>
          </cell>
        </row>
        <row r="66">
          <cell r="B66">
            <v>62032</v>
          </cell>
        </row>
        <row r="67">
          <cell r="B67">
            <v>62032</v>
          </cell>
        </row>
        <row r="68">
          <cell r="B68">
            <v>62035</v>
          </cell>
        </row>
        <row r="69">
          <cell r="B69">
            <v>62035</v>
          </cell>
        </row>
        <row r="70">
          <cell r="B70">
            <v>62042</v>
          </cell>
        </row>
        <row r="71">
          <cell r="B71">
            <v>62042</v>
          </cell>
        </row>
        <row r="72">
          <cell r="B72">
            <v>62048</v>
          </cell>
        </row>
        <row r="73">
          <cell r="B73">
            <v>62048</v>
          </cell>
        </row>
        <row r="74">
          <cell r="B74">
            <v>62050</v>
          </cell>
        </row>
        <row r="75">
          <cell r="B75">
            <v>62050</v>
          </cell>
        </row>
        <row r="76">
          <cell r="B76">
            <v>62059</v>
          </cell>
        </row>
        <row r="77">
          <cell r="B77">
            <v>62059</v>
          </cell>
        </row>
        <row r="78">
          <cell r="B78">
            <v>62063</v>
          </cell>
        </row>
        <row r="79">
          <cell r="B79">
            <v>62076</v>
          </cell>
        </row>
        <row r="80">
          <cell r="B80">
            <v>62081</v>
          </cell>
        </row>
        <row r="81">
          <cell r="B81">
            <v>62081</v>
          </cell>
        </row>
        <row r="82">
          <cell r="B82">
            <v>62086</v>
          </cell>
        </row>
        <row r="83">
          <cell r="B83">
            <v>62086</v>
          </cell>
        </row>
        <row r="84">
          <cell r="B84">
            <v>62090</v>
          </cell>
        </row>
        <row r="85">
          <cell r="B85">
            <v>62090</v>
          </cell>
        </row>
        <row r="86">
          <cell r="B86">
            <v>62092</v>
          </cell>
        </row>
        <row r="87">
          <cell r="B87">
            <v>62092</v>
          </cell>
        </row>
        <row r="88">
          <cell r="B88">
            <v>62096</v>
          </cell>
        </row>
        <row r="89">
          <cell r="B89">
            <v>62098</v>
          </cell>
        </row>
        <row r="90">
          <cell r="B90">
            <v>62100</v>
          </cell>
        </row>
        <row r="91">
          <cell r="B91">
            <v>62101</v>
          </cell>
        </row>
        <row r="92">
          <cell r="B92">
            <v>62103</v>
          </cell>
        </row>
        <row r="93">
          <cell r="B93">
            <v>62103</v>
          </cell>
        </row>
        <row r="94">
          <cell r="B94">
            <v>62105</v>
          </cell>
        </row>
        <row r="95">
          <cell r="B95">
            <v>62109</v>
          </cell>
        </row>
        <row r="96">
          <cell r="B96">
            <v>62113</v>
          </cell>
        </row>
        <row r="97">
          <cell r="B97">
            <v>62116</v>
          </cell>
        </row>
        <row r="98">
          <cell r="B98">
            <v>62134</v>
          </cell>
        </row>
        <row r="99">
          <cell r="B99">
            <v>62134</v>
          </cell>
        </row>
        <row r="100">
          <cell r="B100">
            <v>62154</v>
          </cell>
        </row>
        <row r="101">
          <cell r="B101">
            <v>62155</v>
          </cell>
        </row>
        <row r="102">
          <cell r="B102">
            <v>62156</v>
          </cell>
        </row>
        <row r="103">
          <cell r="B103">
            <v>62156</v>
          </cell>
        </row>
        <row r="104">
          <cell r="B104">
            <v>62161</v>
          </cell>
        </row>
        <row r="105">
          <cell r="B105">
            <v>62161</v>
          </cell>
        </row>
        <row r="106">
          <cell r="B106">
            <v>62171</v>
          </cell>
        </row>
        <row r="107">
          <cell r="B107">
            <v>62171</v>
          </cell>
        </row>
        <row r="108">
          <cell r="B108">
            <v>62185</v>
          </cell>
        </row>
        <row r="109">
          <cell r="B109">
            <v>62185</v>
          </cell>
        </row>
        <row r="110">
          <cell r="B110">
            <v>62187</v>
          </cell>
        </row>
        <row r="111">
          <cell r="B111">
            <v>62187</v>
          </cell>
        </row>
        <row r="112">
          <cell r="B112">
            <v>62189</v>
          </cell>
        </row>
        <row r="113">
          <cell r="B113">
            <v>62189</v>
          </cell>
        </row>
        <row r="114">
          <cell r="B114">
            <v>62191</v>
          </cell>
        </row>
        <row r="115">
          <cell r="B115">
            <v>62191</v>
          </cell>
        </row>
        <row r="116">
          <cell r="B116">
            <v>62196</v>
          </cell>
        </row>
        <row r="117">
          <cell r="B117">
            <v>62196</v>
          </cell>
        </row>
        <row r="118">
          <cell r="B118">
            <v>62201</v>
          </cell>
        </row>
        <row r="119">
          <cell r="B119">
            <v>62201</v>
          </cell>
        </row>
        <row r="120">
          <cell r="B120">
            <v>62203</v>
          </cell>
        </row>
        <row r="121">
          <cell r="B121">
            <v>62203</v>
          </cell>
        </row>
        <row r="122">
          <cell r="B122">
            <v>62208</v>
          </cell>
        </row>
        <row r="123">
          <cell r="B123">
            <v>62208</v>
          </cell>
        </row>
        <row r="124">
          <cell r="B124">
            <v>62210</v>
          </cell>
        </row>
        <row r="125">
          <cell r="B125">
            <v>62214</v>
          </cell>
        </row>
        <row r="126">
          <cell r="B126">
            <v>62214</v>
          </cell>
        </row>
        <row r="127">
          <cell r="B127">
            <v>62215</v>
          </cell>
        </row>
        <row r="128">
          <cell r="B128">
            <v>62215</v>
          </cell>
        </row>
        <row r="129">
          <cell r="B129">
            <v>62216</v>
          </cell>
        </row>
        <row r="130">
          <cell r="B130">
            <v>62216</v>
          </cell>
        </row>
        <row r="131">
          <cell r="B131">
            <v>62219</v>
          </cell>
        </row>
        <row r="132">
          <cell r="B132">
            <v>62219</v>
          </cell>
        </row>
        <row r="133">
          <cell r="B133">
            <v>62226</v>
          </cell>
        </row>
        <row r="134">
          <cell r="B134">
            <v>62226</v>
          </cell>
        </row>
        <row r="135">
          <cell r="B135">
            <v>62228</v>
          </cell>
        </row>
        <row r="136">
          <cell r="B136">
            <v>62228</v>
          </cell>
        </row>
        <row r="137">
          <cell r="B137">
            <v>62241</v>
          </cell>
        </row>
        <row r="138">
          <cell r="B138">
            <v>62241</v>
          </cell>
        </row>
        <row r="139">
          <cell r="B139">
            <v>62243</v>
          </cell>
        </row>
        <row r="140">
          <cell r="B140">
            <v>62243</v>
          </cell>
        </row>
        <row r="141">
          <cell r="B141">
            <v>62245</v>
          </cell>
        </row>
        <row r="142">
          <cell r="B142">
            <v>62245</v>
          </cell>
        </row>
        <row r="143">
          <cell r="B143">
            <v>62248</v>
          </cell>
        </row>
        <row r="144">
          <cell r="B144">
            <v>62248</v>
          </cell>
        </row>
        <row r="145">
          <cell r="B145">
            <v>62249</v>
          </cell>
        </row>
        <row r="146">
          <cell r="B146">
            <v>62249</v>
          </cell>
        </row>
        <row r="147">
          <cell r="B147">
            <v>62252</v>
          </cell>
        </row>
        <row r="148">
          <cell r="B148">
            <v>62252</v>
          </cell>
        </row>
        <row r="149">
          <cell r="B149">
            <v>62254</v>
          </cell>
        </row>
        <row r="150">
          <cell r="B150">
            <v>62254</v>
          </cell>
        </row>
        <row r="151">
          <cell r="B151">
            <v>62278</v>
          </cell>
        </row>
        <row r="152">
          <cell r="B152">
            <v>62284</v>
          </cell>
        </row>
        <row r="153">
          <cell r="B153">
            <v>62284</v>
          </cell>
        </row>
        <row r="154">
          <cell r="B154">
            <v>62285</v>
          </cell>
        </row>
        <row r="155">
          <cell r="B155">
            <v>62286</v>
          </cell>
        </row>
        <row r="156">
          <cell r="B156">
            <v>62296</v>
          </cell>
        </row>
        <row r="157">
          <cell r="B157">
            <v>62296</v>
          </cell>
        </row>
        <row r="158">
          <cell r="B158">
            <v>62303</v>
          </cell>
        </row>
        <row r="159">
          <cell r="B159">
            <v>62303</v>
          </cell>
        </row>
        <row r="160">
          <cell r="B160">
            <v>62309</v>
          </cell>
        </row>
        <row r="161">
          <cell r="B161">
            <v>62309</v>
          </cell>
        </row>
        <row r="162">
          <cell r="B162">
            <v>62310</v>
          </cell>
        </row>
        <row r="163">
          <cell r="B163">
            <v>62310</v>
          </cell>
        </row>
        <row r="164">
          <cell r="B164">
            <v>62311</v>
          </cell>
        </row>
        <row r="165">
          <cell r="B165">
            <v>62311</v>
          </cell>
        </row>
        <row r="166">
          <cell r="B166">
            <v>64017</v>
          </cell>
        </row>
        <row r="167">
          <cell r="B167">
            <v>64017</v>
          </cell>
        </row>
        <row r="168">
          <cell r="B168">
            <v>64044</v>
          </cell>
        </row>
        <row r="169">
          <cell r="B169">
            <v>64047</v>
          </cell>
        </row>
        <row r="170">
          <cell r="B170">
            <v>64047</v>
          </cell>
        </row>
        <row r="171">
          <cell r="B171">
            <v>64070</v>
          </cell>
        </row>
        <row r="172">
          <cell r="B172">
            <v>64070</v>
          </cell>
        </row>
        <row r="173">
          <cell r="B173">
            <v>64074</v>
          </cell>
        </row>
        <row r="174">
          <cell r="B174">
            <v>64074</v>
          </cell>
        </row>
        <row r="175">
          <cell r="B175">
            <v>64081</v>
          </cell>
        </row>
        <row r="176">
          <cell r="B176">
            <v>64081</v>
          </cell>
        </row>
        <row r="177">
          <cell r="B177">
            <v>64085</v>
          </cell>
        </row>
        <row r="178">
          <cell r="B178">
            <v>64085</v>
          </cell>
        </row>
        <row r="179">
          <cell r="B179">
            <v>64088</v>
          </cell>
        </row>
        <row r="180">
          <cell r="B180">
            <v>64088</v>
          </cell>
        </row>
        <row r="181">
          <cell r="B181">
            <v>64101</v>
          </cell>
        </row>
        <row r="182">
          <cell r="B182">
            <v>64101</v>
          </cell>
        </row>
        <row r="183">
          <cell r="B183">
            <v>64105</v>
          </cell>
        </row>
        <row r="184">
          <cell r="B184">
            <v>64105</v>
          </cell>
        </row>
        <row r="185">
          <cell r="B185">
            <v>64133</v>
          </cell>
        </row>
        <row r="186">
          <cell r="B186">
            <v>64151</v>
          </cell>
        </row>
        <row r="187">
          <cell r="B187">
            <v>64151</v>
          </cell>
        </row>
        <row r="188">
          <cell r="B188">
            <v>64161</v>
          </cell>
        </row>
        <row r="189">
          <cell r="B189">
            <v>64199</v>
          </cell>
        </row>
        <row r="190">
          <cell r="B190">
            <v>64199</v>
          </cell>
        </row>
        <row r="191">
          <cell r="B191">
            <v>64203</v>
          </cell>
        </row>
        <row r="192">
          <cell r="B192">
            <v>64203</v>
          </cell>
        </row>
        <row r="193">
          <cell r="B193">
            <v>64205</v>
          </cell>
        </row>
        <row r="194">
          <cell r="B194">
            <v>64205</v>
          </cell>
        </row>
        <row r="195">
          <cell r="B195">
            <v>64207</v>
          </cell>
        </row>
        <row r="196">
          <cell r="B196">
            <v>64207</v>
          </cell>
        </row>
        <row r="197">
          <cell r="B197">
            <v>64215</v>
          </cell>
        </row>
        <row r="198">
          <cell r="B198">
            <v>64215</v>
          </cell>
        </row>
        <row r="199">
          <cell r="B199">
            <v>64216</v>
          </cell>
        </row>
        <row r="200">
          <cell r="B200">
            <v>64216</v>
          </cell>
        </row>
        <row r="201">
          <cell r="B201">
            <v>64217</v>
          </cell>
        </row>
        <row r="202">
          <cell r="B202">
            <v>64217</v>
          </cell>
        </row>
        <row r="203">
          <cell r="B203">
            <v>64219</v>
          </cell>
        </row>
        <row r="204">
          <cell r="B204">
            <v>64241</v>
          </cell>
        </row>
        <row r="205">
          <cell r="B205">
            <v>66006</v>
          </cell>
        </row>
        <row r="206">
          <cell r="B206">
            <v>66006</v>
          </cell>
        </row>
        <row r="207">
          <cell r="B207">
            <v>68008</v>
          </cell>
        </row>
        <row r="208">
          <cell r="B208">
            <v>68009</v>
          </cell>
        </row>
        <row r="209">
          <cell r="B209">
            <v>68009</v>
          </cell>
        </row>
        <row r="210">
          <cell r="B210">
            <v>68014</v>
          </cell>
        </row>
        <row r="211">
          <cell r="B211">
            <v>68049</v>
          </cell>
        </row>
        <row r="212">
          <cell r="B212">
            <v>68049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71EB-EDD3-4647-95D9-7F207B83E78B}">
  <dimension ref="A1:Q514"/>
  <sheetViews>
    <sheetView showGridLines="0" zoomScale="85" zoomScaleNormal="85" workbookViewId="0">
      <pane ySplit="1" topLeftCell="A333" activePane="bottomLeft" state="frozen"/>
      <selection activeCell="B1" sqref="B1"/>
      <selection pane="bottomLeft" activeCell="E517" sqref="E517"/>
    </sheetView>
  </sheetViews>
  <sheetFormatPr defaultRowHeight="26.25" customHeight="1" x14ac:dyDescent="0.25"/>
  <cols>
    <col min="1" max="1" width="12.28515625" style="15" customWidth="1"/>
    <col min="2" max="2" width="14.7109375" style="15" customWidth="1"/>
    <col min="3" max="3" width="12.28515625" style="15" customWidth="1"/>
    <col min="4" max="4" width="68.85546875" style="98" customWidth="1"/>
    <col min="5" max="5" width="57.5703125" style="56" customWidth="1"/>
    <col min="6" max="6" width="16" style="56" customWidth="1"/>
    <col min="7" max="7" width="0.140625" style="15" customWidth="1"/>
    <col min="8" max="8" width="16.5703125" style="15" customWidth="1"/>
    <col min="9" max="9" width="8.7109375" style="15" bestFit="1" customWidth="1"/>
    <col min="10" max="10" width="13.28515625" style="101" bestFit="1" customWidth="1"/>
    <col min="11" max="11" width="30.5703125" style="15" customWidth="1"/>
    <col min="12" max="12" width="11.85546875" style="15" customWidth="1"/>
    <col min="13" max="13" width="17.28515625" style="15" bestFit="1" customWidth="1"/>
    <col min="14" max="14" width="9.140625" style="15"/>
    <col min="15" max="16" width="12.140625" style="15" bestFit="1" customWidth="1"/>
    <col min="17" max="17" width="14.28515625" style="15" bestFit="1" customWidth="1"/>
    <col min="18" max="16384" width="9.140625" style="15"/>
  </cols>
  <sheetData>
    <row r="1" spans="1:14" s="7" customFormat="1" ht="26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99" t="s">
        <v>1428</v>
      </c>
      <c r="K1" s="8"/>
      <c r="L1" s="8"/>
      <c r="M1" s="8"/>
      <c r="N1" s="8"/>
    </row>
    <row r="2" spans="1:14" ht="18.75" customHeight="1" x14ac:dyDescent="0.25">
      <c r="A2" s="9" t="s">
        <v>9</v>
      </c>
      <c r="B2" s="10">
        <v>66010</v>
      </c>
      <c r="C2" s="10" t="s">
        <v>10</v>
      </c>
      <c r="D2" s="95" t="s">
        <v>11</v>
      </c>
      <c r="E2" s="11" t="s">
        <v>12</v>
      </c>
      <c r="F2" s="11" t="s">
        <v>13</v>
      </c>
      <c r="G2" s="12" t="s">
        <v>14</v>
      </c>
      <c r="H2" s="13">
        <v>3</v>
      </c>
      <c r="I2" s="14">
        <v>50.813000000000002</v>
      </c>
      <c r="J2" s="100">
        <f>I2*204.18</f>
        <v>10374.99834</v>
      </c>
    </row>
    <row r="3" spans="1:14" ht="18.75" customHeight="1" x14ac:dyDescent="0.25">
      <c r="A3" s="9" t="s">
        <v>9</v>
      </c>
      <c r="B3" s="10">
        <v>64092</v>
      </c>
      <c r="C3" s="10" t="s">
        <v>10</v>
      </c>
      <c r="D3" s="95" t="s">
        <v>15</v>
      </c>
      <c r="E3" s="11" t="s">
        <v>16</v>
      </c>
      <c r="F3" s="17" t="s">
        <v>17</v>
      </c>
      <c r="G3" s="18"/>
      <c r="H3" s="13">
        <v>5</v>
      </c>
      <c r="I3" s="14">
        <v>60.005400000000002</v>
      </c>
      <c r="J3" s="100">
        <f t="shared" ref="J3:J66" si="0">I3*204.18</f>
        <v>12251.902572000001</v>
      </c>
    </row>
    <row r="4" spans="1:14" ht="18.75" customHeight="1" x14ac:dyDescent="0.25">
      <c r="A4" s="9" t="s">
        <v>9</v>
      </c>
      <c r="B4" s="10">
        <v>60007</v>
      </c>
      <c r="C4" s="10" t="s">
        <v>10</v>
      </c>
      <c r="D4" s="95" t="s">
        <v>321</v>
      </c>
      <c r="E4" s="11" t="s">
        <v>322</v>
      </c>
      <c r="F4" s="17" t="s">
        <v>323</v>
      </c>
      <c r="G4" s="18" t="s">
        <v>324</v>
      </c>
      <c r="H4" s="13">
        <v>2</v>
      </c>
      <c r="I4" s="14">
        <v>1.4200000000000008</v>
      </c>
      <c r="J4" s="100">
        <f t="shared" si="0"/>
        <v>289.93560000000019</v>
      </c>
    </row>
    <row r="5" spans="1:14" ht="18.75" customHeight="1" x14ac:dyDescent="0.25">
      <c r="A5" s="9" t="s">
        <v>9</v>
      </c>
      <c r="B5" s="10">
        <v>64177</v>
      </c>
      <c r="C5" s="10" t="s">
        <v>10</v>
      </c>
      <c r="D5" s="95" t="s">
        <v>22</v>
      </c>
      <c r="E5" s="11" t="s">
        <v>23</v>
      </c>
      <c r="F5" s="11" t="s">
        <v>13</v>
      </c>
      <c r="G5" s="12" t="s">
        <v>14</v>
      </c>
      <c r="H5" s="13">
        <v>3</v>
      </c>
      <c r="I5" s="14">
        <v>28.56</v>
      </c>
      <c r="J5" s="100">
        <f t="shared" si="0"/>
        <v>5831.3807999999999</v>
      </c>
    </row>
    <row r="6" spans="1:14" ht="18.75" customHeight="1" x14ac:dyDescent="0.25">
      <c r="A6" s="9" t="s">
        <v>9</v>
      </c>
      <c r="B6" s="10">
        <v>60007</v>
      </c>
      <c r="C6" s="10" t="s">
        <v>30</v>
      </c>
      <c r="D6" s="95" t="s">
        <v>321</v>
      </c>
      <c r="E6" s="11" t="s">
        <v>390</v>
      </c>
      <c r="F6" s="17" t="s">
        <v>391</v>
      </c>
      <c r="G6" s="18"/>
      <c r="H6" s="13">
        <v>2</v>
      </c>
      <c r="I6" s="14">
        <v>1.1250000000000056</v>
      </c>
      <c r="J6" s="100">
        <f t="shared" si="0"/>
        <v>229.70250000000115</v>
      </c>
    </row>
    <row r="7" spans="1:14" ht="18.75" customHeight="1" x14ac:dyDescent="0.25">
      <c r="A7" s="9" t="s">
        <v>9</v>
      </c>
      <c r="B7" s="10">
        <v>62070</v>
      </c>
      <c r="C7" s="10" t="s">
        <v>10</v>
      </c>
      <c r="D7" s="95" t="s">
        <v>26</v>
      </c>
      <c r="E7" s="11" t="s">
        <v>27</v>
      </c>
      <c r="F7" s="11" t="s">
        <v>13</v>
      </c>
      <c r="G7" s="12" t="s">
        <v>14</v>
      </c>
      <c r="H7" s="13">
        <v>2</v>
      </c>
      <c r="I7" s="14">
        <v>18</v>
      </c>
      <c r="J7" s="100">
        <f t="shared" si="0"/>
        <v>3675.2400000000002</v>
      </c>
    </row>
    <row r="8" spans="1:14" ht="18.75" customHeight="1" x14ac:dyDescent="0.25">
      <c r="A8" s="9" t="s">
        <v>9</v>
      </c>
      <c r="B8" s="10">
        <v>62054</v>
      </c>
      <c r="C8" s="10" t="s">
        <v>10</v>
      </c>
      <c r="D8" s="95" t="s">
        <v>28</v>
      </c>
      <c r="E8" s="11" t="s">
        <v>29</v>
      </c>
      <c r="F8" s="17"/>
      <c r="G8" s="18"/>
      <c r="H8" s="13">
        <v>2</v>
      </c>
      <c r="I8" s="14">
        <v>15.66</v>
      </c>
      <c r="J8" s="100">
        <f t="shared" si="0"/>
        <v>3197.4588000000003</v>
      </c>
    </row>
    <row r="9" spans="1:14" ht="18.75" customHeight="1" x14ac:dyDescent="0.25">
      <c r="A9" s="9" t="s">
        <v>9</v>
      </c>
      <c r="B9" s="10">
        <v>62221</v>
      </c>
      <c r="C9" s="10" t="s">
        <v>10</v>
      </c>
      <c r="D9" s="95" t="s">
        <v>380</v>
      </c>
      <c r="E9" s="11" t="s">
        <v>194</v>
      </c>
      <c r="F9" s="17" t="s">
        <v>381</v>
      </c>
      <c r="G9" s="18" t="s">
        <v>227</v>
      </c>
      <c r="H9" s="13">
        <v>2</v>
      </c>
      <c r="I9" s="14">
        <v>1.183333333333334</v>
      </c>
      <c r="J9" s="100">
        <f t="shared" si="0"/>
        <v>241.61300000000014</v>
      </c>
    </row>
    <row r="10" spans="1:14" ht="18.75" customHeight="1" x14ac:dyDescent="0.25">
      <c r="A10" s="9" t="s">
        <v>9</v>
      </c>
      <c r="B10" s="10">
        <v>60105</v>
      </c>
      <c r="C10" s="10" t="s">
        <v>10</v>
      </c>
      <c r="D10" s="95" t="s">
        <v>32</v>
      </c>
      <c r="E10" s="11" t="s">
        <v>33</v>
      </c>
      <c r="F10" s="17" t="s">
        <v>34</v>
      </c>
      <c r="G10" s="18" t="s">
        <v>35</v>
      </c>
      <c r="H10" s="13">
        <v>3</v>
      </c>
      <c r="I10" s="14">
        <v>14.28</v>
      </c>
      <c r="J10" s="100">
        <f t="shared" si="0"/>
        <v>2915.6904</v>
      </c>
    </row>
    <row r="11" spans="1:14" ht="18.75" customHeight="1" x14ac:dyDescent="0.25">
      <c r="A11" s="9" t="s">
        <v>9</v>
      </c>
      <c r="B11" s="10">
        <v>64212</v>
      </c>
      <c r="C11" s="10" t="s">
        <v>10</v>
      </c>
      <c r="D11" s="95" t="s">
        <v>36</v>
      </c>
      <c r="E11" s="11" t="s">
        <v>37</v>
      </c>
      <c r="F11" s="17"/>
      <c r="G11" s="20"/>
      <c r="H11" s="13">
        <v>3</v>
      </c>
      <c r="I11" s="14">
        <v>14.28</v>
      </c>
      <c r="J11" s="100">
        <f t="shared" si="0"/>
        <v>2915.6904</v>
      </c>
    </row>
    <row r="12" spans="1:14" ht="18.75" customHeight="1" x14ac:dyDescent="0.25">
      <c r="A12" s="9" t="s">
        <v>9</v>
      </c>
      <c r="B12" s="10">
        <v>68071</v>
      </c>
      <c r="C12" s="10" t="s">
        <v>10</v>
      </c>
      <c r="D12" s="95" t="s">
        <v>38</v>
      </c>
      <c r="E12" s="11" t="s">
        <v>39</v>
      </c>
      <c r="F12" s="17" t="s">
        <v>40</v>
      </c>
      <c r="G12" s="18" t="s">
        <v>41</v>
      </c>
      <c r="H12" s="13">
        <v>5</v>
      </c>
      <c r="I12" s="14">
        <v>18.84</v>
      </c>
      <c r="J12" s="100">
        <f t="shared" si="0"/>
        <v>3846.7512000000002</v>
      </c>
    </row>
    <row r="13" spans="1:14" ht="18.75" customHeight="1" x14ac:dyDescent="0.25">
      <c r="A13" s="9" t="s">
        <v>9</v>
      </c>
      <c r="B13" s="10">
        <v>62221</v>
      </c>
      <c r="C13" s="10" t="s">
        <v>30</v>
      </c>
      <c r="D13" s="95" t="s">
        <v>380</v>
      </c>
      <c r="E13" s="11" t="s">
        <v>284</v>
      </c>
      <c r="F13" s="17"/>
      <c r="G13" s="18"/>
      <c r="H13" s="13">
        <v>2</v>
      </c>
      <c r="I13" s="14">
        <v>0.79999999999999338</v>
      </c>
      <c r="J13" s="100">
        <f t="shared" si="0"/>
        <v>163.34399999999866</v>
      </c>
    </row>
    <row r="14" spans="1:14" ht="18.75" customHeight="1" x14ac:dyDescent="0.25">
      <c r="A14" s="9" t="s">
        <v>9</v>
      </c>
      <c r="B14" s="10">
        <v>68070</v>
      </c>
      <c r="C14" s="10" t="s">
        <v>10</v>
      </c>
      <c r="D14" s="95" t="s">
        <v>43</v>
      </c>
      <c r="E14" s="11" t="s">
        <v>44</v>
      </c>
      <c r="F14" s="17" t="s">
        <v>40</v>
      </c>
      <c r="G14" s="18" t="s">
        <v>41</v>
      </c>
      <c r="H14" s="13">
        <v>5</v>
      </c>
      <c r="I14" s="14">
        <v>15.700000000000001</v>
      </c>
      <c r="J14" s="100">
        <f t="shared" si="0"/>
        <v>3205.6260000000002</v>
      </c>
    </row>
    <row r="15" spans="1:14" ht="18.75" customHeight="1" x14ac:dyDescent="0.25">
      <c r="A15" s="9" t="s">
        <v>9</v>
      </c>
      <c r="B15" s="10">
        <v>62140</v>
      </c>
      <c r="C15" s="10" t="s">
        <v>10</v>
      </c>
      <c r="D15" s="95" t="s">
        <v>45</v>
      </c>
      <c r="E15" s="11" t="s">
        <v>46</v>
      </c>
      <c r="F15" s="17" t="s">
        <v>47</v>
      </c>
      <c r="G15" s="18" t="s">
        <v>48</v>
      </c>
      <c r="H15" s="13">
        <v>2</v>
      </c>
      <c r="I15" s="14">
        <v>9.36</v>
      </c>
      <c r="J15" s="100">
        <f t="shared" si="0"/>
        <v>1911.1248000000001</v>
      </c>
    </row>
    <row r="16" spans="1:14" ht="18.75" customHeight="1" x14ac:dyDescent="0.25">
      <c r="A16" s="9" t="s">
        <v>9</v>
      </c>
      <c r="B16" s="10">
        <v>60017</v>
      </c>
      <c r="C16" s="10" t="s">
        <v>10</v>
      </c>
      <c r="D16" s="95" t="s">
        <v>49</v>
      </c>
      <c r="E16" s="11" t="s">
        <v>50</v>
      </c>
      <c r="F16" s="17" t="s">
        <v>51</v>
      </c>
      <c r="G16" s="18" t="s">
        <v>52</v>
      </c>
      <c r="H16" s="13">
        <v>2</v>
      </c>
      <c r="I16" s="14">
        <v>9</v>
      </c>
      <c r="J16" s="100">
        <f t="shared" si="0"/>
        <v>1837.6200000000001</v>
      </c>
    </row>
    <row r="17" spans="1:10" ht="18.75" customHeight="1" x14ac:dyDescent="0.25">
      <c r="A17" s="9" t="s">
        <v>9</v>
      </c>
      <c r="B17" s="10">
        <v>62138</v>
      </c>
      <c r="C17" s="10" t="s">
        <v>10</v>
      </c>
      <c r="D17" s="95" t="s">
        <v>53</v>
      </c>
      <c r="E17" s="11" t="s">
        <v>46</v>
      </c>
      <c r="F17" s="17" t="s">
        <v>47</v>
      </c>
      <c r="G17" s="18" t="s">
        <v>48</v>
      </c>
      <c r="H17" s="13">
        <v>2</v>
      </c>
      <c r="I17" s="14">
        <v>7.8</v>
      </c>
      <c r="J17" s="100">
        <f t="shared" si="0"/>
        <v>1592.604</v>
      </c>
    </row>
    <row r="18" spans="1:10" ht="18.75" customHeight="1" x14ac:dyDescent="0.25">
      <c r="A18" s="9" t="s">
        <v>9</v>
      </c>
      <c r="B18" s="10">
        <v>62223</v>
      </c>
      <c r="C18" s="10" t="s">
        <v>10</v>
      </c>
      <c r="D18" s="95" t="s">
        <v>193</v>
      </c>
      <c r="E18" s="11" t="s">
        <v>194</v>
      </c>
      <c r="F18" s="17"/>
      <c r="G18" s="18"/>
      <c r="H18" s="13">
        <v>2</v>
      </c>
      <c r="I18" s="14">
        <v>2.6</v>
      </c>
      <c r="J18" s="100">
        <f t="shared" si="0"/>
        <v>530.86800000000005</v>
      </c>
    </row>
    <row r="19" spans="1:10" ht="18.75" customHeight="1" x14ac:dyDescent="0.25">
      <c r="A19" s="9" t="s">
        <v>9</v>
      </c>
      <c r="B19" s="10">
        <v>68069</v>
      </c>
      <c r="C19" s="10" t="s">
        <v>10</v>
      </c>
      <c r="D19" s="95" t="s">
        <v>56</v>
      </c>
      <c r="E19" s="11" t="s">
        <v>57</v>
      </c>
      <c r="F19" s="17" t="s">
        <v>40</v>
      </c>
      <c r="G19" s="18" t="s">
        <v>41</v>
      </c>
      <c r="H19" s="13">
        <v>5</v>
      </c>
      <c r="I19" s="14">
        <v>11.775</v>
      </c>
      <c r="J19" s="100">
        <f t="shared" si="0"/>
        <v>2404.2195000000002</v>
      </c>
    </row>
    <row r="20" spans="1:10" ht="18.75" customHeight="1" x14ac:dyDescent="0.25">
      <c r="A20" s="9" t="s">
        <v>9</v>
      </c>
      <c r="B20" s="10">
        <v>60105</v>
      </c>
      <c r="C20" s="10" t="s">
        <v>30</v>
      </c>
      <c r="D20" s="95" t="s">
        <v>32</v>
      </c>
      <c r="E20" s="11" t="s">
        <v>58</v>
      </c>
      <c r="F20" s="17" t="s">
        <v>34</v>
      </c>
      <c r="G20" s="18" t="s">
        <v>35</v>
      </c>
      <c r="H20" s="13">
        <v>3</v>
      </c>
      <c r="I20" s="14">
        <v>8.5679999999999996</v>
      </c>
      <c r="J20" s="100">
        <f t="shared" si="0"/>
        <v>1749.4142400000001</v>
      </c>
    </row>
    <row r="21" spans="1:10" ht="18.75" customHeight="1" x14ac:dyDescent="0.25">
      <c r="A21" s="9" t="s">
        <v>9</v>
      </c>
      <c r="B21" s="10">
        <v>62204</v>
      </c>
      <c r="C21" s="10" t="s">
        <v>10</v>
      </c>
      <c r="D21" s="95" t="s">
        <v>59</v>
      </c>
      <c r="E21" s="11" t="s">
        <v>60</v>
      </c>
      <c r="F21" s="17" t="s">
        <v>47</v>
      </c>
      <c r="G21" s="18" t="s">
        <v>48</v>
      </c>
      <c r="H21" s="13">
        <v>2</v>
      </c>
      <c r="I21" s="14">
        <v>7.05</v>
      </c>
      <c r="J21" s="100">
        <f t="shared" si="0"/>
        <v>1439.4690000000001</v>
      </c>
    </row>
    <row r="22" spans="1:10" ht="18.75" customHeight="1" x14ac:dyDescent="0.25">
      <c r="A22" s="9" t="s">
        <v>9</v>
      </c>
      <c r="B22" s="10">
        <v>68098</v>
      </c>
      <c r="C22" s="10" t="s">
        <v>10</v>
      </c>
      <c r="D22" s="95" t="s">
        <v>61</v>
      </c>
      <c r="E22" s="11" t="s">
        <v>62</v>
      </c>
      <c r="F22" s="17" t="s">
        <v>63</v>
      </c>
      <c r="G22" s="18" t="s">
        <v>64</v>
      </c>
      <c r="H22" s="13">
        <v>2</v>
      </c>
      <c r="I22" s="14">
        <v>7</v>
      </c>
      <c r="J22" s="100">
        <f t="shared" si="0"/>
        <v>1429.26</v>
      </c>
    </row>
    <row r="23" spans="1:10" ht="18.75" customHeight="1" x14ac:dyDescent="0.25">
      <c r="A23" s="9" t="s">
        <v>9</v>
      </c>
      <c r="B23" s="10">
        <v>62301</v>
      </c>
      <c r="C23" s="10" t="s">
        <v>10</v>
      </c>
      <c r="D23" s="95" t="s">
        <v>65</v>
      </c>
      <c r="E23" s="11" t="s">
        <v>33</v>
      </c>
      <c r="F23" s="17" t="s">
        <v>34</v>
      </c>
      <c r="G23" s="18" t="s">
        <v>35</v>
      </c>
      <c r="H23" s="13">
        <v>3</v>
      </c>
      <c r="I23" s="14">
        <v>8.0324999999999971</v>
      </c>
      <c r="J23" s="100">
        <f t="shared" si="0"/>
        <v>1640.0758499999995</v>
      </c>
    </row>
    <row r="24" spans="1:10" ht="18.75" customHeight="1" x14ac:dyDescent="0.25">
      <c r="A24" s="9" t="s">
        <v>9</v>
      </c>
      <c r="B24" s="10">
        <v>62223</v>
      </c>
      <c r="C24" s="10" t="s">
        <v>30</v>
      </c>
      <c r="D24" s="95" t="s">
        <v>193</v>
      </c>
      <c r="E24" s="11" t="s">
        <v>284</v>
      </c>
      <c r="F24" s="17"/>
      <c r="G24" s="18"/>
      <c r="H24" s="13">
        <v>2</v>
      </c>
      <c r="I24" s="14">
        <v>1.6460000000000001</v>
      </c>
      <c r="J24" s="100">
        <f t="shared" si="0"/>
        <v>336.08028000000002</v>
      </c>
    </row>
    <row r="25" spans="1:10" ht="18.75" customHeight="1" x14ac:dyDescent="0.25">
      <c r="A25" s="9" t="s">
        <v>9</v>
      </c>
      <c r="B25" s="10">
        <v>68050</v>
      </c>
      <c r="C25" s="10" t="s">
        <v>10</v>
      </c>
      <c r="D25" s="95" t="s">
        <v>68</v>
      </c>
      <c r="E25" s="11" t="s">
        <v>69</v>
      </c>
      <c r="F25" s="17" t="s">
        <v>70</v>
      </c>
      <c r="G25" s="18" t="s">
        <v>71</v>
      </c>
      <c r="H25" s="13">
        <v>3</v>
      </c>
      <c r="I25" s="14">
        <v>7.14</v>
      </c>
      <c r="J25" s="100">
        <f t="shared" si="0"/>
        <v>1457.8452</v>
      </c>
    </row>
    <row r="26" spans="1:10" ht="18.75" customHeight="1" x14ac:dyDescent="0.25">
      <c r="A26" s="9" t="s">
        <v>9</v>
      </c>
      <c r="B26" s="10">
        <v>60067</v>
      </c>
      <c r="C26" s="10" t="s">
        <v>10</v>
      </c>
      <c r="D26" s="95" t="s">
        <v>208</v>
      </c>
      <c r="E26" s="11" t="s">
        <v>209</v>
      </c>
      <c r="F26" s="17" t="s">
        <v>210</v>
      </c>
      <c r="G26" s="18" t="s">
        <v>211</v>
      </c>
      <c r="H26" s="13">
        <v>3</v>
      </c>
      <c r="I26" s="14">
        <v>2.9234333333333287</v>
      </c>
      <c r="J26" s="100">
        <f t="shared" si="0"/>
        <v>596.90661799999907</v>
      </c>
    </row>
    <row r="27" spans="1:10" ht="18.75" customHeight="1" x14ac:dyDescent="0.25">
      <c r="A27" s="9" t="s">
        <v>9</v>
      </c>
      <c r="B27" s="10">
        <v>62045</v>
      </c>
      <c r="C27" s="10" t="s">
        <v>10</v>
      </c>
      <c r="D27" s="95" t="s">
        <v>74</v>
      </c>
      <c r="E27" s="11" t="s">
        <v>75</v>
      </c>
      <c r="F27" s="17" t="s">
        <v>76</v>
      </c>
      <c r="G27" s="18" t="s">
        <v>77</v>
      </c>
      <c r="H27" s="13">
        <v>3</v>
      </c>
      <c r="I27" s="14">
        <v>6.5449999999999999</v>
      </c>
      <c r="J27" s="100">
        <f t="shared" si="0"/>
        <v>1336.3580999999999</v>
      </c>
    </row>
    <row r="28" spans="1:10" ht="18.75" customHeight="1" x14ac:dyDescent="0.25">
      <c r="A28" s="9" t="s">
        <v>9</v>
      </c>
      <c r="B28" s="10">
        <v>62246</v>
      </c>
      <c r="C28" s="10" t="s">
        <v>10</v>
      </c>
      <c r="D28" s="95" t="s">
        <v>78</v>
      </c>
      <c r="E28" s="11" t="s">
        <v>60</v>
      </c>
      <c r="F28" s="17" t="s">
        <v>47</v>
      </c>
      <c r="G28" s="18" t="s">
        <v>48</v>
      </c>
      <c r="H28" s="13">
        <v>2</v>
      </c>
      <c r="I28" s="14">
        <v>5.5</v>
      </c>
      <c r="J28" s="100">
        <f t="shared" si="0"/>
        <v>1122.99</v>
      </c>
    </row>
    <row r="29" spans="1:10" ht="18.75" customHeight="1" x14ac:dyDescent="0.25">
      <c r="A29" s="9" t="s">
        <v>9</v>
      </c>
      <c r="B29" s="10">
        <v>62262</v>
      </c>
      <c r="C29" s="10" t="s">
        <v>10</v>
      </c>
      <c r="D29" s="95" t="s">
        <v>79</v>
      </c>
      <c r="E29" s="11" t="s">
        <v>80</v>
      </c>
      <c r="F29" s="17" t="s">
        <v>81</v>
      </c>
      <c r="G29" s="18" t="s">
        <v>82</v>
      </c>
      <c r="H29" s="13">
        <v>2</v>
      </c>
      <c r="I29" s="14">
        <v>5.036363636363637</v>
      </c>
      <c r="J29" s="100">
        <f t="shared" si="0"/>
        <v>1028.3247272727274</v>
      </c>
    </row>
    <row r="30" spans="1:10" ht="18.75" customHeight="1" x14ac:dyDescent="0.25">
      <c r="A30" s="9" t="s">
        <v>9</v>
      </c>
      <c r="B30" s="10">
        <v>60101</v>
      </c>
      <c r="C30" s="10" t="s">
        <v>10</v>
      </c>
      <c r="D30" s="95" t="s">
        <v>83</v>
      </c>
      <c r="E30" s="11" t="s">
        <v>84</v>
      </c>
      <c r="F30" s="17" t="s">
        <v>85</v>
      </c>
      <c r="G30" s="18" t="s">
        <v>86</v>
      </c>
      <c r="H30" s="13">
        <v>2</v>
      </c>
      <c r="I30" s="14">
        <v>5</v>
      </c>
      <c r="J30" s="100">
        <f t="shared" si="0"/>
        <v>1020.9000000000001</v>
      </c>
    </row>
    <row r="31" spans="1:10" ht="18.75" customHeight="1" x14ac:dyDescent="0.25">
      <c r="A31" s="9" t="s">
        <v>9</v>
      </c>
      <c r="B31" s="10">
        <v>60067</v>
      </c>
      <c r="C31" s="10" t="s">
        <v>30</v>
      </c>
      <c r="D31" s="95" t="s">
        <v>208</v>
      </c>
      <c r="E31" s="11" t="s">
        <v>396</v>
      </c>
      <c r="F31" s="17"/>
      <c r="G31" s="18"/>
      <c r="H31" s="13">
        <v>3</v>
      </c>
      <c r="I31" s="14">
        <v>1.3089999999999948</v>
      </c>
      <c r="J31" s="100">
        <f t="shared" si="0"/>
        <v>267.27161999999896</v>
      </c>
    </row>
    <row r="32" spans="1:10" ht="18.75" customHeight="1" x14ac:dyDescent="0.25">
      <c r="A32" s="9" t="s">
        <v>9</v>
      </c>
      <c r="B32" s="10">
        <v>64024</v>
      </c>
      <c r="C32" s="10" t="s">
        <v>10</v>
      </c>
      <c r="D32" s="95" t="s">
        <v>88</v>
      </c>
      <c r="E32" s="11" t="s">
        <v>89</v>
      </c>
      <c r="F32" s="17" t="s">
        <v>90</v>
      </c>
      <c r="G32" s="18" t="s">
        <v>91</v>
      </c>
      <c r="H32" s="13">
        <v>2</v>
      </c>
      <c r="I32" s="14">
        <v>4.7</v>
      </c>
      <c r="J32" s="100">
        <f t="shared" si="0"/>
        <v>959.64600000000007</v>
      </c>
    </row>
    <row r="33" spans="1:11" ht="18.75" customHeight="1" x14ac:dyDescent="0.25">
      <c r="A33" s="9" t="s">
        <v>9</v>
      </c>
      <c r="B33" s="10">
        <v>60152</v>
      </c>
      <c r="C33" s="10" t="s">
        <v>10</v>
      </c>
      <c r="D33" s="95" t="s">
        <v>92</v>
      </c>
      <c r="E33" s="11" t="s">
        <v>93</v>
      </c>
      <c r="F33" s="17" t="s">
        <v>94</v>
      </c>
      <c r="G33" s="18" t="s">
        <v>35</v>
      </c>
      <c r="H33" s="13">
        <v>3</v>
      </c>
      <c r="I33" s="14">
        <v>5.4739999999999993</v>
      </c>
      <c r="J33" s="100">
        <f t="shared" si="0"/>
        <v>1117.6813199999999</v>
      </c>
    </row>
    <row r="34" spans="1:11" ht="18.75" customHeight="1" x14ac:dyDescent="0.25">
      <c r="A34" s="9" t="s">
        <v>9</v>
      </c>
      <c r="B34" s="10">
        <v>60073</v>
      </c>
      <c r="C34" s="10" t="s">
        <v>10</v>
      </c>
      <c r="D34" s="95" t="s">
        <v>225</v>
      </c>
      <c r="E34" s="11" t="s">
        <v>107</v>
      </c>
      <c r="F34" s="17" t="s">
        <v>226</v>
      </c>
      <c r="G34" s="18" t="s">
        <v>227</v>
      </c>
      <c r="H34" s="13">
        <v>3</v>
      </c>
      <c r="I34" s="14">
        <v>2.6576666666666622</v>
      </c>
      <c r="J34" s="100">
        <f t="shared" si="0"/>
        <v>542.64237999999909</v>
      </c>
    </row>
    <row r="35" spans="1:11" ht="18.75" customHeight="1" x14ac:dyDescent="0.25">
      <c r="A35" s="9" t="s">
        <v>9</v>
      </c>
      <c r="B35" s="10">
        <v>60073</v>
      </c>
      <c r="C35" s="10" t="s">
        <v>30</v>
      </c>
      <c r="D35" s="95" t="s">
        <v>225</v>
      </c>
      <c r="E35" s="11" t="s">
        <v>153</v>
      </c>
      <c r="F35" s="17" t="s">
        <v>425</v>
      </c>
      <c r="G35" s="18" t="s">
        <v>426</v>
      </c>
      <c r="H35" s="13">
        <v>3</v>
      </c>
      <c r="I35" s="14">
        <v>1.1899999999999951</v>
      </c>
      <c r="J35" s="100">
        <f t="shared" si="0"/>
        <v>242.974199999999</v>
      </c>
    </row>
    <row r="36" spans="1:11" ht="18.75" customHeight="1" x14ac:dyDescent="0.25">
      <c r="A36" s="9" t="s">
        <v>9</v>
      </c>
      <c r="B36" s="10">
        <v>60076</v>
      </c>
      <c r="C36" s="10" t="s">
        <v>10</v>
      </c>
      <c r="D36" s="95" t="s">
        <v>106</v>
      </c>
      <c r="E36" s="11" t="s">
        <v>107</v>
      </c>
      <c r="F36" s="17"/>
      <c r="G36" s="18"/>
      <c r="H36" s="13">
        <v>3</v>
      </c>
      <c r="I36" s="14">
        <v>4.76</v>
      </c>
      <c r="J36" s="100">
        <f t="shared" si="0"/>
        <v>971.89679999999998</v>
      </c>
    </row>
    <row r="37" spans="1:11" ht="18.75" customHeight="1" x14ac:dyDescent="0.25">
      <c r="A37" s="9" t="s">
        <v>9</v>
      </c>
      <c r="B37" s="10">
        <v>66170</v>
      </c>
      <c r="C37" s="10" t="s">
        <v>10</v>
      </c>
      <c r="D37" s="95" t="s">
        <v>677</v>
      </c>
      <c r="E37" s="11" t="s">
        <v>678</v>
      </c>
      <c r="F37" s="17" t="s">
        <v>679</v>
      </c>
      <c r="G37" s="18"/>
      <c r="H37" s="13">
        <v>2</v>
      </c>
      <c r="I37" s="14">
        <v>0.40000000000000402</v>
      </c>
      <c r="J37" s="100">
        <f t="shared" si="0"/>
        <v>81.672000000000821</v>
      </c>
    </row>
    <row r="38" spans="1:11" ht="18.75" customHeight="1" x14ac:dyDescent="0.25">
      <c r="A38" s="9" t="s">
        <v>9</v>
      </c>
      <c r="B38" s="10">
        <v>66042</v>
      </c>
      <c r="C38" s="10" t="s">
        <v>10</v>
      </c>
      <c r="D38" s="95" t="s">
        <v>971</v>
      </c>
      <c r="E38" s="11" t="s">
        <v>963</v>
      </c>
      <c r="F38" s="17" t="s">
        <v>964</v>
      </c>
      <c r="G38" s="18" t="s">
        <v>965</v>
      </c>
      <c r="H38" s="13">
        <v>5</v>
      </c>
      <c r="I38" s="14">
        <v>7.8500000000000014E-2</v>
      </c>
      <c r="J38" s="100">
        <f t="shared" si="0"/>
        <v>16.028130000000004</v>
      </c>
    </row>
    <row r="39" spans="1:11" ht="18.75" customHeight="1" x14ac:dyDescent="0.25">
      <c r="A39" s="9" t="s">
        <v>9</v>
      </c>
      <c r="B39" s="10">
        <v>62010</v>
      </c>
      <c r="C39" s="10" t="s">
        <v>10</v>
      </c>
      <c r="D39" s="95" t="s">
        <v>1017</v>
      </c>
      <c r="E39" s="11" t="s">
        <v>963</v>
      </c>
      <c r="F39" s="17" t="s">
        <v>964</v>
      </c>
      <c r="G39" s="18" t="s">
        <v>965</v>
      </c>
      <c r="H39" s="13">
        <v>5</v>
      </c>
      <c r="I39" s="14">
        <v>3.1400000000000004E-2</v>
      </c>
      <c r="J39" s="100">
        <f t="shared" si="0"/>
        <v>6.4112520000000011</v>
      </c>
    </row>
    <row r="40" spans="1:11" ht="18.75" customHeight="1" x14ac:dyDescent="0.25">
      <c r="A40" s="9" t="s">
        <v>9</v>
      </c>
      <c r="B40" s="10">
        <v>62261</v>
      </c>
      <c r="C40" s="10" t="s">
        <v>10</v>
      </c>
      <c r="D40" s="95" t="s">
        <v>105</v>
      </c>
      <c r="E40" s="11" t="s">
        <v>80</v>
      </c>
      <c r="F40" s="17" t="s">
        <v>81</v>
      </c>
      <c r="G40" s="18" t="s">
        <v>82</v>
      </c>
      <c r="H40" s="13">
        <v>2</v>
      </c>
      <c r="I40" s="14">
        <v>4.2078947368421051</v>
      </c>
      <c r="J40" s="100">
        <f t="shared" si="0"/>
        <v>859.1679473684211</v>
      </c>
      <c r="K40" s="23"/>
    </row>
    <row r="41" spans="1:11" ht="18.75" customHeight="1" x14ac:dyDescent="0.25">
      <c r="A41" s="9" t="s">
        <v>9</v>
      </c>
      <c r="B41" s="10">
        <v>62301</v>
      </c>
      <c r="C41" s="10" t="s">
        <v>30</v>
      </c>
      <c r="D41" s="95" t="s">
        <v>65</v>
      </c>
      <c r="E41" s="11" t="s">
        <v>58</v>
      </c>
      <c r="F41" s="17" t="s">
        <v>34</v>
      </c>
      <c r="G41" s="18" t="s">
        <v>35</v>
      </c>
      <c r="H41" s="13">
        <v>3</v>
      </c>
      <c r="I41" s="14">
        <v>4.8194999999999988</v>
      </c>
      <c r="J41" s="100">
        <f t="shared" si="0"/>
        <v>984.04550999999981</v>
      </c>
    </row>
    <row r="42" spans="1:11" ht="18.75" customHeight="1" x14ac:dyDescent="0.25">
      <c r="A42" s="9" t="s">
        <v>9</v>
      </c>
      <c r="B42" s="10">
        <v>60076</v>
      </c>
      <c r="C42" s="10" t="s">
        <v>30</v>
      </c>
      <c r="D42" s="95" t="s">
        <v>106</v>
      </c>
      <c r="E42" s="11" t="s">
        <v>153</v>
      </c>
      <c r="F42" s="17"/>
      <c r="G42" s="18"/>
      <c r="H42" s="13">
        <v>3</v>
      </c>
      <c r="I42" s="14">
        <v>3.57</v>
      </c>
      <c r="J42" s="100">
        <f t="shared" si="0"/>
        <v>728.92259999999999</v>
      </c>
    </row>
    <row r="43" spans="1:11" ht="18.75" customHeight="1" x14ac:dyDescent="0.25">
      <c r="A43" s="9" t="s">
        <v>9</v>
      </c>
      <c r="B43" s="10">
        <v>60080</v>
      </c>
      <c r="C43" s="10" t="s">
        <v>10</v>
      </c>
      <c r="D43" s="95" t="s">
        <v>278</v>
      </c>
      <c r="E43" s="11" t="s">
        <v>73</v>
      </c>
      <c r="F43" s="17" t="s">
        <v>279</v>
      </c>
      <c r="G43" s="18" t="s">
        <v>251</v>
      </c>
      <c r="H43" s="13">
        <v>3</v>
      </c>
      <c r="I43" s="14">
        <v>1.9783749999999989</v>
      </c>
      <c r="J43" s="100">
        <f t="shared" si="0"/>
        <v>403.94460749999979</v>
      </c>
    </row>
    <row r="44" spans="1:11" ht="18.75" customHeight="1" x14ac:dyDescent="0.25">
      <c r="A44" s="9" t="s">
        <v>9</v>
      </c>
      <c r="B44" s="10">
        <v>62019</v>
      </c>
      <c r="C44" s="10" t="s">
        <v>10</v>
      </c>
      <c r="D44" s="95" t="s">
        <v>110</v>
      </c>
      <c r="E44" s="11" t="s">
        <v>111</v>
      </c>
      <c r="F44" s="17"/>
      <c r="G44" s="20"/>
      <c r="H44" s="13">
        <v>3</v>
      </c>
      <c r="I44" s="14">
        <v>4.76</v>
      </c>
      <c r="J44" s="100">
        <f t="shared" si="0"/>
        <v>971.89679999999998</v>
      </c>
    </row>
    <row r="45" spans="1:11" ht="18.75" customHeight="1" x14ac:dyDescent="0.25">
      <c r="A45" s="9" t="s">
        <v>9</v>
      </c>
      <c r="B45" s="10">
        <v>64135</v>
      </c>
      <c r="C45" s="10" t="s">
        <v>10</v>
      </c>
      <c r="D45" s="95" t="s">
        <v>112</v>
      </c>
      <c r="E45" s="11" t="s">
        <v>113</v>
      </c>
      <c r="F45" s="17"/>
      <c r="G45" s="18"/>
      <c r="H45" s="13">
        <v>2</v>
      </c>
      <c r="I45" s="14">
        <v>4</v>
      </c>
      <c r="J45" s="100">
        <f t="shared" si="0"/>
        <v>816.72</v>
      </c>
    </row>
    <row r="46" spans="1:11" ht="18.75" customHeight="1" x14ac:dyDescent="0.25">
      <c r="A46" s="9" t="s">
        <v>9</v>
      </c>
      <c r="B46" s="10">
        <v>66049</v>
      </c>
      <c r="C46" s="10" t="s">
        <v>10</v>
      </c>
      <c r="D46" s="95" t="s">
        <v>114</v>
      </c>
      <c r="E46" s="11" t="s">
        <v>115</v>
      </c>
      <c r="F46" s="11" t="s">
        <v>116</v>
      </c>
      <c r="G46" s="12" t="s">
        <v>117</v>
      </c>
      <c r="H46" s="13">
        <v>2</v>
      </c>
      <c r="I46" s="14">
        <v>4</v>
      </c>
      <c r="J46" s="100">
        <f t="shared" si="0"/>
        <v>816.72</v>
      </c>
    </row>
    <row r="47" spans="1:11" ht="18.75" customHeight="1" x14ac:dyDescent="0.25">
      <c r="A47" s="9" t="s">
        <v>9</v>
      </c>
      <c r="B47" s="10">
        <v>60097</v>
      </c>
      <c r="C47" s="10" t="s">
        <v>10</v>
      </c>
      <c r="D47" s="95" t="s">
        <v>118</v>
      </c>
      <c r="E47" s="11" t="s">
        <v>93</v>
      </c>
      <c r="F47" s="17" t="s">
        <v>119</v>
      </c>
      <c r="G47" s="18" t="s">
        <v>120</v>
      </c>
      <c r="H47" s="13">
        <v>3</v>
      </c>
      <c r="I47" s="14">
        <v>4.165</v>
      </c>
      <c r="J47" s="100">
        <f t="shared" si="0"/>
        <v>850.40970000000004</v>
      </c>
    </row>
    <row r="48" spans="1:11" ht="18.75" customHeight="1" x14ac:dyDescent="0.25">
      <c r="A48" s="9" t="s">
        <v>9</v>
      </c>
      <c r="B48" s="10">
        <v>62034</v>
      </c>
      <c r="C48" s="10" t="s">
        <v>10</v>
      </c>
      <c r="D48" s="95" t="s">
        <v>121</v>
      </c>
      <c r="E48" s="11" t="s">
        <v>122</v>
      </c>
      <c r="F48" s="17" t="s">
        <v>123</v>
      </c>
      <c r="G48" s="18" t="s">
        <v>124</v>
      </c>
      <c r="H48" s="13">
        <v>2</v>
      </c>
      <c r="I48" s="14">
        <v>3.5</v>
      </c>
      <c r="J48" s="100">
        <f t="shared" si="0"/>
        <v>714.63</v>
      </c>
    </row>
    <row r="49" spans="1:10" ht="18.75" customHeight="1" x14ac:dyDescent="0.25">
      <c r="A49" s="9" t="s">
        <v>9</v>
      </c>
      <c r="B49" s="10">
        <v>66011</v>
      </c>
      <c r="C49" s="10" t="s">
        <v>10</v>
      </c>
      <c r="D49" s="95" t="s">
        <v>125</v>
      </c>
      <c r="E49" s="11" t="s">
        <v>126</v>
      </c>
      <c r="F49" s="11" t="s">
        <v>13</v>
      </c>
      <c r="G49" s="12" t="s">
        <v>14</v>
      </c>
      <c r="H49" s="13">
        <v>5</v>
      </c>
      <c r="I49" s="14">
        <v>5.4950000000000001</v>
      </c>
      <c r="J49" s="100">
        <f t="shared" si="0"/>
        <v>1121.9691</v>
      </c>
    </row>
    <row r="50" spans="1:10" ht="18.75" customHeight="1" x14ac:dyDescent="0.25">
      <c r="A50" s="9" t="s">
        <v>9</v>
      </c>
      <c r="B50" s="10">
        <v>60135</v>
      </c>
      <c r="C50" s="10" t="s">
        <v>10</v>
      </c>
      <c r="D50" s="95" t="s">
        <v>127</v>
      </c>
      <c r="E50" s="11" t="s">
        <v>128</v>
      </c>
      <c r="F50" s="11" t="s">
        <v>129</v>
      </c>
      <c r="G50" s="12" t="s">
        <v>130</v>
      </c>
      <c r="H50" s="13">
        <v>3</v>
      </c>
      <c r="I50" s="14">
        <v>4.0856666666666657</v>
      </c>
      <c r="J50" s="100">
        <f t="shared" si="0"/>
        <v>834.21141999999986</v>
      </c>
    </row>
    <row r="51" spans="1:10" ht="18.75" customHeight="1" x14ac:dyDescent="0.25">
      <c r="A51" s="9" t="s">
        <v>9</v>
      </c>
      <c r="B51" s="10">
        <v>62266</v>
      </c>
      <c r="C51" s="10" t="s">
        <v>10</v>
      </c>
      <c r="D51" s="95" t="s">
        <v>131</v>
      </c>
      <c r="E51" s="11" t="s">
        <v>132</v>
      </c>
      <c r="F51" s="21" t="s">
        <v>133</v>
      </c>
      <c r="G51" s="22" t="s">
        <v>134</v>
      </c>
      <c r="H51" s="13">
        <v>2</v>
      </c>
      <c r="I51" s="14">
        <v>3.3600000000000052</v>
      </c>
      <c r="J51" s="100">
        <f t="shared" si="0"/>
        <v>686.04480000000103</v>
      </c>
    </row>
    <row r="52" spans="1:10" ht="18.75" customHeight="1" x14ac:dyDescent="0.25">
      <c r="A52" s="9" t="s">
        <v>9</v>
      </c>
      <c r="B52" s="10">
        <v>60050</v>
      </c>
      <c r="C52" s="10" t="s">
        <v>10</v>
      </c>
      <c r="D52" s="95" t="s">
        <v>135</v>
      </c>
      <c r="E52" s="11" t="s">
        <v>136</v>
      </c>
      <c r="F52" s="17" t="s">
        <v>137</v>
      </c>
      <c r="G52" s="18" t="s">
        <v>138</v>
      </c>
      <c r="H52" s="13">
        <v>3</v>
      </c>
      <c r="I52" s="14">
        <v>3.9666666666666668</v>
      </c>
      <c r="J52" s="100">
        <f t="shared" si="0"/>
        <v>809.9140000000001</v>
      </c>
    </row>
    <row r="53" spans="1:10" ht="18.75" customHeight="1" x14ac:dyDescent="0.25">
      <c r="A53" s="9" t="s">
        <v>9</v>
      </c>
      <c r="B53" s="10">
        <v>60080</v>
      </c>
      <c r="C53" s="10" t="s">
        <v>30</v>
      </c>
      <c r="D53" s="95" t="s">
        <v>278</v>
      </c>
      <c r="E53" s="11" t="s">
        <v>338</v>
      </c>
      <c r="F53" s="17"/>
      <c r="G53" s="18"/>
      <c r="H53" s="13">
        <v>3</v>
      </c>
      <c r="I53" s="14">
        <v>1.606500000000002</v>
      </c>
      <c r="J53" s="100">
        <f t="shared" si="0"/>
        <v>328.01517000000041</v>
      </c>
    </row>
    <row r="54" spans="1:10" ht="18.75" customHeight="1" x14ac:dyDescent="0.25">
      <c r="A54" s="9" t="s">
        <v>9</v>
      </c>
      <c r="B54" s="10">
        <v>62071</v>
      </c>
      <c r="C54" s="10" t="s">
        <v>10</v>
      </c>
      <c r="D54" s="95" t="s">
        <v>244</v>
      </c>
      <c r="E54" s="11" t="s">
        <v>245</v>
      </c>
      <c r="F54" s="11" t="s">
        <v>246</v>
      </c>
      <c r="G54" s="12" t="s">
        <v>247</v>
      </c>
      <c r="H54" s="13">
        <v>2</v>
      </c>
      <c r="I54" s="14">
        <v>2</v>
      </c>
      <c r="J54" s="100">
        <f t="shared" si="0"/>
        <v>408.36</v>
      </c>
    </row>
    <row r="55" spans="1:10" ht="18.75" customHeight="1" x14ac:dyDescent="0.25">
      <c r="A55" s="9" t="s">
        <v>9</v>
      </c>
      <c r="B55" s="10">
        <v>62011</v>
      </c>
      <c r="C55" s="10" t="s">
        <v>10</v>
      </c>
      <c r="D55" s="95" t="s">
        <v>962</v>
      </c>
      <c r="E55" s="11" t="s">
        <v>963</v>
      </c>
      <c r="F55" s="17" t="s">
        <v>964</v>
      </c>
      <c r="G55" s="18" t="s">
        <v>965</v>
      </c>
      <c r="H55" s="13">
        <v>5</v>
      </c>
      <c r="I55" s="14">
        <v>0.1099</v>
      </c>
      <c r="J55" s="100">
        <f t="shared" si="0"/>
        <v>22.439382000000002</v>
      </c>
    </row>
    <row r="56" spans="1:10" ht="18.75" customHeight="1" x14ac:dyDescent="0.25">
      <c r="A56" s="9" t="s">
        <v>9</v>
      </c>
      <c r="B56" s="10">
        <v>60006</v>
      </c>
      <c r="C56" s="10" t="s">
        <v>10</v>
      </c>
      <c r="D56" s="95" t="s">
        <v>149</v>
      </c>
      <c r="E56" s="11" t="s">
        <v>150</v>
      </c>
      <c r="F56" s="17" t="s">
        <v>151</v>
      </c>
      <c r="G56" s="18" t="s">
        <v>152</v>
      </c>
      <c r="H56" s="13">
        <v>2</v>
      </c>
      <c r="I56" s="14">
        <v>3.0114285714285716</v>
      </c>
      <c r="J56" s="100">
        <f t="shared" si="0"/>
        <v>614.87348571428572</v>
      </c>
    </row>
    <row r="57" spans="1:10" ht="18.75" customHeight="1" x14ac:dyDescent="0.25">
      <c r="A57" s="9" t="s">
        <v>9</v>
      </c>
      <c r="B57" s="10">
        <v>60084</v>
      </c>
      <c r="C57" s="10" t="s">
        <v>10</v>
      </c>
      <c r="D57" s="95" t="s">
        <v>295</v>
      </c>
      <c r="E57" s="11" t="s">
        <v>296</v>
      </c>
      <c r="F57" s="17" t="s">
        <v>279</v>
      </c>
      <c r="G57" s="18" t="s">
        <v>297</v>
      </c>
      <c r="H57" s="13">
        <v>3</v>
      </c>
      <c r="I57" s="14">
        <v>1.9039999999999957</v>
      </c>
      <c r="J57" s="100">
        <f t="shared" si="0"/>
        <v>388.75871999999913</v>
      </c>
    </row>
    <row r="58" spans="1:10" ht="18.75" customHeight="1" x14ac:dyDescent="0.25">
      <c r="A58" s="9" t="s">
        <v>9</v>
      </c>
      <c r="B58" s="10">
        <v>60084</v>
      </c>
      <c r="C58" s="10" t="s">
        <v>30</v>
      </c>
      <c r="D58" s="95" t="s">
        <v>295</v>
      </c>
      <c r="E58" s="11" t="s">
        <v>363</v>
      </c>
      <c r="F58" s="17" t="s">
        <v>364</v>
      </c>
      <c r="G58" s="18" t="s">
        <v>365</v>
      </c>
      <c r="H58" s="13">
        <v>3</v>
      </c>
      <c r="I58" s="14">
        <v>1.5172500000000027</v>
      </c>
      <c r="J58" s="100">
        <f t="shared" si="0"/>
        <v>309.79210500000056</v>
      </c>
    </row>
    <row r="59" spans="1:10" ht="18.75" customHeight="1" x14ac:dyDescent="0.25">
      <c r="A59" s="9" t="s">
        <v>9</v>
      </c>
      <c r="B59" s="10">
        <v>60099</v>
      </c>
      <c r="C59" s="10" t="s">
        <v>10</v>
      </c>
      <c r="D59" s="95" t="s">
        <v>155</v>
      </c>
      <c r="E59" s="11" t="s">
        <v>84</v>
      </c>
      <c r="F59" s="17" t="s">
        <v>85</v>
      </c>
      <c r="G59" s="18" t="s">
        <v>86</v>
      </c>
      <c r="H59" s="13">
        <v>2</v>
      </c>
      <c r="I59" s="14">
        <v>3</v>
      </c>
      <c r="J59" s="100">
        <f t="shared" si="0"/>
        <v>612.54</v>
      </c>
    </row>
    <row r="60" spans="1:10" ht="18.75" customHeight="1" x14ac:dyDescent="0.25">
      <c r="A60" s="9" t="s">
        <v>9</v>
      </c>
      <c r="B60" s="10">
        <v>60101</v>
      </c>
      <c r="C60" s="10" t="s">
        <v>30</v>
      </c>
      <c r="D60" s="95" t="s">
        <v>83</v>
      </c>
      <c r="E60" s="11" t="s">
        <v>156</v>
      </c>
      <c r="F60" s="17" t="s">
        <v>85</v>
      </c>
      <c r="G60" s="18" t="s">
        <v>86</v>
      </c>
      <c r="H60" s="13">
        <v>2</v>
      </c>
      <c r="I60" s="14">
        <v>3</v>
      </c>
      <c r="J60" s="100">
        <f t="shared" si="0"/>
        <v>612.54</v>
      </c>
    </row>
    <row r="61" spans="1:10" ht="18.75" customHeight="1" x14ac:dyDescent="0.25">
      <c r="A61" s="9" t="s">
        <v>9</v>
      </c>
      <c r="B61" s="10">
        <v>60510</v>
      </c>
      <c r="C61" s="10" t="s">
        <v>10</v>
      </c>
      <c r="D61" s="95" t="s">
        <v>157</v>
      </c>
      <c r="E61" s="11" t="s">
        <v>158</v>
      </c>
      <c r="F61" s="11" t="s">
        <v>159</v>
      </c>
      <c r="G61" s="12" t="s">
        <v>160</v>
      </c>
      <c r="H61" s="13">
        <v>3</v>
      </c>
      <c r="I61" s="14">
        <v>3.57</v>
      </c>
      <c r="J61" s="100">
        <f t="shared" si="0"/>
        <v>728.92259999999999</v>
      </c>
    </row>
    <row r="62" spans="1:10" ht="18.75" customHeight="1" x14ac:dyDescent="0.25">
      <c r="A62" s="9" t="s">
        <v>9</v>
      </c>
      <c r="B62" s="10">
        <v>62133</v>
      </c>
      <c r="C62" s="10" t="s">
        <v>10</v>
      </c>
      <c r="D62" s="95" t="s">
        <v>199</v>
      </c>
      <c r="E62" s="11" t="s">
        <v>191</v>
      </c>
      <c r="F62" s="17" t="s">
        <v>200</v>
      </c>
      <c r="G62" s="18" t="s">
        <v>201</v>
      </c>
      <c r="H62" s="13">
        <v>2</v>
      </c>
      <c r="I62" s="14">
        <v>2.5</v>
      </c>
      <c r="J62" s="100">
        <f t="shared" si="0"/>
        <v>510.45000000000005</v>
      </c>
    </row>
    <row r="63" spans="1:10" ht="18.75" customHeight="1" x14ac:dyDescent="0.25">
      <c r="A63" s="9" t="s">
        <v>9</v>
      </c>
      <c r="B63" s="10">
        <v>64024</v>
      </c>
      <c r="C63" s="10" t="s">
        <v>30</v>
      </c>
      <c r="D63" s="95" t="s">
        <v>88</v>
      </c>
      <c r="E63" s="11" t="s">
        <v>165</v>
      </c>
      <c r="F63" s="17" t="s">
        <v>166</v>
      </c>
      <c r="G63" s="18" t="s">
        <v>167</v>
      </c>
      <c r="H63" s="13">
        <v>2</v>
      </c>
      <c r="I63" s="14">
        <v>3</v>
      </c>
      <c r="J63" s="100">
        <f t="shared" si="0"/>
        <v>612.54</v>
      </c>
    </row>
    <row r="64" spans="1:10" ht="18.75" customHeight="1" x14ac:dyDescent="0.25">
      <c r="A64" s="9" t="s">
        <v>9</v>
      </c>
      <c r="B64" s="10">
        <v>64063</v>
      </c>
      <c r="C64" s="10" t="s">
        <v>10</v>
      </c>
      <c r="D64" s="95" t="s">
        <v>168</v>
      </c>
      <c r="E64" s="11" t="s">
        <v>169</v>
      </c>
      <c r="F64" s="17" t="s">
        <v>170</v>
      </c>
      <c r="G64" s="18"/>
      <c r="H64" s="13">
        <v>2</v>
      </c>
      <c r="I64" s="14">
        <v>3</v>
      </c>
      <c r="J64" s="100">
        <f t="shared" si="0"/>
        <v>612.54</v>
      </c>
    </row>
    <row r="65" spans="1:10" ht="18.75" customHeight="1" x14ac:dyDescent="0.25">
      <c r="A65" s="9" t="s">
        <v>9</v>
      </c>
      <c r="B65" s="10">
        <v>60048</v>
      </c>
      <c r="C65" s="10" t="s">
        <v>10</v>
      </c>
      <c r="D65" s="95" t="s">
        <v>806</v>
      </c>
      <c r="E65" s="11" t="s">
        <v>807</v>
      </c>
      <c r="F65" s="17"/>
      <c r="G65" s="18"/>
      <c r="H65" s="13">
        <v>2</v>
      </c>
      <c r="I65" s="14">
        <v>0.27999999999999897</v>
      </c>
      <c r="J65" s="100">
        <f t="shared" si="0"/>
        <v>57.170399999999795</v>
      </c>
    </row>
    <row r="66" spans="1:10" ht="18.75" customHeight="1" x14ac:dyDescent="0.25">
      <c r="A66" s="9" t="s">
        <v>9</v>
      </c>
      <c r="B66" s="10">
        <v>64213</v>
      </c>
      <c r="C66" s="10" t="s">
        <v>10</v>
      </c>
      <c r="D66" s="95" t="s">
        <v>175</v>
      </c>
      <c r="E66" s="11" t="s">
        <v>176</v>
      </c>
      <c r="F66" s="17" t="s">
        <v>40</v>
      </c>
      <c r="G66" s="18" t="s">
        <v>177</v>
      </c>
      <c r="H66" s="13">
        <v>4</v>
      </c>
      <c r="I66" s="14">
        <v>4.1399999999999997</v>
      </c>
      <c r="J66" s="100">
        <f t="shared" si="0"/>
        <v>845.30520000000001</v>
      </c>
    </row>
    <row r="67" spans="1:10" ht="18.75" customHeight="1" x14ac:dyDescent="0.25">
      <c r="A67" s="9" t="s">
        <v>9</v>
      </c>
      <c r="B67" s="10">
        <v>60010</v>
      </c>
      <c r="C67" s="10" t="s">
        <v>10</v>
      </c>
      <c r="D67" s="95" t="s">
        <v>178</v>
      </c>
      <c r="E67" s="11" t="s">
        <v>179</v>
      </c>
      <c r="F67" s="11" t="s">
        <v>180</v>
      </c>
      <c r="G67" s="12" t="s">
        <v>181</v>
      </c>
      <c r="H67" s="13">
        <v>2</v>
      </c>
      <c r="I67" s="14">
        <v>2.9624999999999999</v>
      </c>
      <c r="J67" s="100">
        <f t="shared" ref="J67:J130" si="1">I67*204.18</f>
        <v>604.88324999999998</v>
      </c>
    </row>
    <row r="68" spans="1:10" ht="18.75" customHeight="1" x14ac:dyDescent="0.25">
      <c r="A68" s="9" t="s">
        <v>9</v>
      </c>
      <c r="B68" s="10">
        <v>62072</v>
      </c>
      <c r="C68" s="10" t="s">
        <v>10</v>
      </c>
      <c r="D68" s="95" t="s">
        <v>489</v>
      </c>
      <c r="E68" s="11" t="s">
        <v>490</v>
      </c>
      <c r="F68" s="11" t="s">
        <v>246</v>
      </c>
      <c r="G68" s="12" t="s">
        <v>247</v>
      </c>
      <c r="H68" s="13">
        <v>2</v>
      </c>
      <c r="I68" s="14">
        <v>0.77142857142857346</v>
      </c>
      <c r="J68" s="100">
        <f t="shared" si="1"/>
        <v>157.51028571428614</v>
      </c>
    </row>
    <row r="69" spans="1:10" ht="18.75" customHeight="1" x14ac:dyDescent="0.25">
      <c r="A69" s="9" t="s">
        <v>9</v>
      </c>
      <c r="B69" s="10">
        <v>62045</v>
      </c>
      <c r="C69" s="10" t="s">
        <v>30</v>
      </c>
      <c r="D69" s="95" t="s">
        <v>74</v>
      </c>
      <c r="E69" s="11" t="s">
        <v>186</v>
      </c>
      <c r="F69" s="17" t="s">
        <v>187</v>
      </c>
      <c r="G69" s="18" t="s">
        <v>188</v>
      </c>
      <c r="H69" s="13">
        <v>3</v>
      </c>
      <c r="I69" s="14">
        <v>3.3617500000000002</v>
      </c>
      <c r="J69" s="100">
        <f t="shared" si="1"/>
        <v>686.40211500000009</v>
      </c>
    </row>
    <row r="70" spans="1:10" ht="18.75" customHeight="1" x14ac:dyDescent="0.25">
      <c r="A70" s="9" t="s">
        <v>9</v>
      </c>
      <c r="B70" s="10">
        <v>60088</v>
      </c>
      <c r="C70" s="10" t="s">
        <v>30</v>
      </c>
      <c r="D70" s="95" t="s">
        <v>291</v>
      </c>
      <c r="E70" s="11" t="s">
        <v>292</v>
      </c>
      <c r="F70" s="17"/>
      <c r="G70" s="18"/>
      <c r="H70" s="13">
        <v>3</v>
      </c>
      <c r="I70" s="14">
        <v>1.904000000000001</v>
      </c>
      <c r="J70" s="100">
        <f t="shared" si="1"/>
        <v>388.75872000000021</v>
      </c>
    </row>
    <row r="71" spans="1:10" ht="18.75" customHeight="1" x14ac:dyDescent="0.25">
      <c r="A71" s="9" t="s">
        <v>9</v>
      </c>
      <c r="B71" s="10">
        <v>62133</v>
      </c>
      <c r="C71" s="10" t="s">
        <v>30</v>
      </c>
      <c r="D71" s="95" t="s">
        <v>199</v>
      </c>
      <c r="E71" s="11" t="s">
        <v>290</v>
      </c>
      <c r="F71" s="17" t="s">
        <v>200</v>
      </c>
      <c r="G71" s="18">
        <v>0</v>
      </c>
      <c r="H71" s="13">
        <v>2</v>
      </c>
      <c r="I71" s="14">
        <v>1.5</v>
      </c>
      <c r="J71" s="100">
        <f t="shared" si="1"/>
        <v>306.27</v>
      </c>
    </row>
    <row r="72" spans="1:10" ht="18.75" customHeight="1" x14ac:dyDescent="0.25">
      <c r="A72" s="9" t="s">
        <v>9</v>
      </c>
      <c r="B72" s="10">
        <v>60092</v>
      </c>
      <c r="C72" s="10" t="s">
        <v>10</v>
      </c>
      <c r="D72" s="95" t="s">
        <v>72</v>
      </c>
      <c r="E72" s="11" t="s">
        <v>73</v>
      </c>
      <c r="F72" s="17"/>
      <c r="G72" s="18"/>
      <c r="H72" s="13">
        <v>3</v>
      </c>
      <c r="I72" s="14">
        <v>6.6639999999999997</v>
      </c>
      <c r="J72" s="100">
        <f t="shared" si="1"/>
        <v>1360.65552</v>
      </c>
    </row>
    <row r="73" spans="1:10" ht="18.75" customHeight="1" x14ac:dyDescent="0.25">
      <c r="A73" s="9" t="s">
        <v>9</v>
      </c>
      <c r="B73" s="10">
        <v>60092</v>
      </c>
      <c r="C73" s="10" t="s">
        <v>30</v>
      </c>
      <c r="D73" s="95" t="s">
        <v>72</v>
      </c>
      <c r="E73" s="11" t="s">
        <v>154</v>
      </c>
      <c r="F73" s="17"/>
      <c r="G73" s="18"/>
      <c r="H73" s="13">
        <v>3</v>
      </c>
      <c r="I73" s="14">
        <v>3.57</v>
      </c>
      <c r="J73" s="100">
        <f t="shared" si="1"/>
        <v>728.92259999999999</v>
      </c>
    </row>
    <row r="74" spans="1:10" ht="18.75" customHeight="1" x14ac:dyDescent="0.25">
      <c r="A74" s="9" t="s">
        <v>9</v>
      </c>
      <c r="B74" s="29">
        <v>64204</v>
      </c>
      <c r="C74" s="10" t="s">
        <v>10</v>
      </c>
      <c r="D74" s="95" t="s">
        <v>387</v>
      </c>
      <c r="E74" s="11" t="s">
        <v>281</v>
      </c>
      <c r="F74" s="17" t="s">
        <v>282</v>
      </c>
      <c r="G74" s="18" t="s">
        <v>283</v>
      </c>
      <c r="H74" s="13">
        <v>3</v>
      </c>
      <c r="I74" s="14">
        <v>1.3547692307692341</v>
      </c>
      <c r="J74" s="100">
        <f t="shared" si="1"/>
        <v>276.61678153846219</v>
      </c>
    </row>
    <row r="75" spans="1:10" ht="18.75" customHeight="1" x14ac:dyDescent="0.25">
      <c r="A75" s="9" t="s">
        <v>9</v>
      </c>
      <c r="B75" s="10">
        <v>62322</v>
      </c>
      <c r="C75" s="10" t="s">
        <v>10</v>
      </c>
      <c r="D75" s="95" t="s">
        <v>1001</v>
      </c>
      <c r="E75" s="11" t="s">
        <v>1002</v>
      </c>
      <c r="F75" s="17" t="s">
        <v>964</v>
      </c>
      <c r="G75" s="18" t="s">
        <v>965</v>
      </c>
      <c r="H75" s="13">
        <v>5</v>
      </c>
      <c r="I75" s="14">
        <v>4.7100000000000003E-2</v>
      </c>
      <c r="J75" s="100">
        <f t="shared" si="1"/>
        <v>9.6168780000000016</v>
      </c>
    </row>
    <row r="76" spans="1:10" ht="18.75" customHeight="1" x14ac:dyDescent="0.25">
      <c r="A76" s="9" t="s">
        <v>9</v>
      </c>
      <c r="B76" s="10">
        <v>60034</v>
      </c>
      <c r="C76" s="10" t="s">
        <v>10</v>
      </c>
      <c r="D76" s="95" t="s">
        <v>958</v>
      </c>
      <c r="E76" s="11" t="s">
        <v>959</v>
      </c>
      <c r="F76" s="17" t="s">
        <v>960</v>
      </c>
      <c r="G76" s="18" t="s">
        <v>961</v>
      </c>
      <c r="H76" s="13">
        <v>2</v>
      </c>
      <c r="I76" s="14">
        <v>7.4786680911680753E-2</v>
      </c>
      <c r="J76" s="100">
        <f t="shared" si="1"/>
        <v>15.269944508546976</v>
      </c>
    </row>
    <row r="77" spans="1:10" ht="18.75" customHeight="1" x14ac:dyDescent="0.25">
      <c r="A77" s="9" t="s">
        <v>9</v>
      </c>
      <c r="B77" s="10">
        <v>68017</v>
      </c>
      <c r="C77" s="10" t="s">
        <v>10</v>
      </c>
      <c r="D77" s="95" t="s">
        <v>821</v>
      </c>
      <c r="E77" s="11" t="s">
        <v>822</v>
      </c>
      <c r="F77" s="17" t="s">
        <v>772</v>
      </c>
      <c r="G77" s="18" t="s">
        <v>823</v>
      </c>
      <c r="H77" s="13">
        <v>2</v>
      </c>
      <c r="I77" s="14">
        <v>0.26</v>
      </c>
      <c r="J77" s="100">
        <f t="shared" si="1"/>
        <v>53.086800000000004</v>
      </c>
    </row>
    <row r="78" spans="1:10" ht="18.75" customHeight="1" x14ac:dyDescent="0.25">
      <c r="A78" s="9" t="s">
        <v>9</v>
      </c>
      <c r="B78" s="10">
        <v>66009</v>
      </c>
      <c r="C78" s="10" t="s">
        <v>10</v>
      </c>
      <c r="D78" s="95" t="s">
        <v>206</v>
      </c>
      <c r="E78" s="11" t="s">
        <v>207</v>
      </c>
      <c r="F78" s="11" t="s">
        <v>13</v>
      </c>
      <c r="G78" s="12" t="s">
        <v>14</v>
      </c>
      <c r="H78" s="13">
        <v>3</v>
      </c>
      <c r="I78" s="14">
        <v>2.9749999999999996</v>
      </c>
      <c r="J78" s="100">
        <f t="shared" si="1"/>
        <v>607.43549999999993</v>
      </c>
    </row>
    <row r="79" spans="1:10" ht="18.75" customHeight="1" x14ac:dyDescent="0.25">
      <c r="A79" s="9" t="s">
        <v>9</v>
      </c>
      <c r="B79" s="10">
        <v>60096</v>
      </c>
      <c r="C79" s="10" t="s">
        <v>10</v>
      </c>
      <c r="D79" s="95" t="s">
        <v>248</v>
      </c>
      <c r="E79" s="11" t="s">
        <v>249</v>
      </c>
      <c r="F79" s="17" t="s">
        <v>250</v>
      </c>
      <c r="G79" s="18" t="s">
        <v>251</v>
      </c>
      <c r="H79" s="13">
        <v>3</v>
      </c>
      <c r="I79" s="14">
        <v>2.2609999999999997</v>
      </c>
      <c r="J79" s="100">
        <f t="shared" si="1"/>
        <v>461.65097999999995</v>
      </c>
    </row>
    <row r="80" spans="1:10" ht="18.75" customHeight="1" x14ac:dyDescent="0.25">
      <c r="A80" s="9" t="s">
        <v>9</v>
      </c>
      <c r="B80" s="10">
        <v>62135</v>
      </c>
      <c r="C80" s="10" t="s">
        <v>10</v>
      </c>
      <c r="D80" s="95" t="s">
        <v>190</v>
      </c>
      <c r="E80" s="11" t="s">
        <v>191</v>
      </c>
      <c r="F80" s="17" t="s">
        <v>163</v>
      </c>
      <c r="G80" s="18" t="s">
        <v>164</v>
      </c>
      <c r="H80" s="13">
        <v>2</v>
      </c>
      <c r="I80" s="14">
        <v>2.7</v>
      </c>
      <c r="J80" s="100">
        <f t="shared" si="1"/>
        <v>551.28600000000006</v>
      </c>
    </row>
    <row r="81" spans="1:10" ht="18.75" customHeight="1" x14ac:dyDescent="0.25">
      <c r="A81" s="9" t="s">
        <v>9</v>
      </c>
      <c r="B81" s="10">
        <v>64135</v>
      </c>
      <c r="C81" s="10" t="s">
        <v>30</v>
      </c>
      <c r="D81" s="95" t="s">
        <v>112</v>
      </c>
      <c r="E81" s="11" t="s">
        <v>214</v>
      </c>
      <c r="F81" s="17"/>
      <c r="G81" s="18"/>
      <c r="H81" s="13">
        <v>2</v>
      </c>
      <c r="I81" s="14">
        <v>2.4249999999999998</v>
      </c>
      <c r="J81" s="100">
        <f t="shared" si="1"/>
        <v>495.13649999999996</v>
      </c>
    </row>
    <row r="82" spans="1:10" ht="18.75" customHeight="1" x14ac:dyDescent="0.25">
      <c r="A82" s="9" t="s">
        <v>9</v>
      </c>
      <c r="B82" s="10">
        <v>61600</v>
      </c>
      <c r="C82" s="10" t="s">
        <v>10</v>
      </c>
      <c r="D82" s="95" t="s">
        <v>215</v>
      </c>
      <c r="E82" s="11" t="s">
        <v>60</v>
      </c>
      <c r="F82" s="17" t="s">
        <v>81</v>
      </c>
      <c r="G82" s="25" t="s">
        <v>82</v>
      </c>
      <c r="H82" s="13">
        <v>2</v>
      </c>
      <c r="I82" s="14">
        <v>2.4138888888888888</v>
      </c>
      <c r="J82" s="100">
        <f t="shared" si="1"/>
        <v>492.86783333333329</v>
      </c>
    </row>
    <row r="83" spans="1:10" ht="18.75" customHeight="1" x14ac:dyDescent="0.25">
      <c r="A83" s="9" t="s">
        <v>9</v>
      </c>
      <c r="B83" s="10">
        <v>61610</v>
      </c>
      <c r="C83" s="10" t="s">
        <v>10</v>
      </c>
      <c r="D83" s="95" t="s">
        <v>216</v>
      </c>
      <c r="E83" s="11" t="s">
        <v>60</v>
      </c>
      <c r="F83" s="17" t="s">
        <v>81</v>
      </c>
      <c r="G83" s="18" t="s">
        <v>82</v>
      </c>
      <c r="H83" s="13">
        <v>2</v>
      </c>
      <c r="I83" s="14">
        <v>2.4138888888888888</v>
      </c>
      <c r="J83" s="100">
        <f t="shared" si="1"/>
        <v>492.86783333333329</v>
      </c>
    </row>
    <row r="84" spans="1:10" ht="18.75" customHeight="1" x14ac:dyDescent="0.25">
      <c r="A84" s="9" t="s">
        <v>9</v>
      </c>
      <c r="B84" s="10">
        <v>60096</v>
      </c>
      <c r="C84" s="10" t="s">
        <v>30</v>
      </c>
      <c r="D84" s="95" t="s">
        <v>248</v>
      </c>
      <c r="E84" s="11" t="s">
        <v>386</v>
      </c>
      <c r="F84" s="17"/>
      <c r="G84" s="18"/>
      <c r="H84" s="13">
        <v>3</v>
      </c>
      <c r="I84" s="14">
        <v>1.3566</v>
      </c>
      <c r="J84" s="100">
        <f t="shared" si="1"/>
        <v>276.990588</v>
      </c>
    </row>
    <row r="85" spans="1:10" ht="18.75" customHeight="1" x14ac:dyDescent="0.25">
      <c r="A85" s="9" t="s">
        <v>9</v>
      </c>
      <c r="B85" s="10">
        <v>60100</v>
      </c>
      <c r="C85" s="10" t="s">
        <v>10</v>
      </c>
      <c r="D85" s="95" t="s">
        <v>303</v>
      </c>
      <c r="E85" s="11" t="s">
        <v>304</v>
      </c>
      <c r="F85" s="17" t="s">
        <v>250</v>
      </c>
      <c r="G85" s="18" t="s">
        <v>251</v>
      </c>
      <c r="H85" s="13">
        <v>3</v>
      </c>
      <c r="I85" s="14">
        <v>1.8444999999999938</v>
      </c>
      <c r="J85" s="100">
        <f t="shared" si="1"/>
        <v>376.61000999999874</v>
      </c>
    </row>
    <row r="86" spans="1:10" ht="18.75" customHeight="1" x14ac:dyDescent="0.25">
      <c r="A86" s="9" t="s">
        <v>9</v>
      </c>
      <c r="B86" s="10">
        <v>60027</v>
      </c>
      <c r="C86" s="10" t="s">
        <v>10</v>
      </c>
      <c r="D86" s="95" t="s">
        <v>222</v>
      </c>
      <c r="E86" s="11" t="s">
        <v>223</v>
      </c>
      <c r="F86" s="17" t="s">
        <v>224</v>
      </c>
      <c r="G86" s="18"/>
      <c r="H86" s="13">
        <v>2</v>
      </c>
      <c r="I86" s="14">
        <v>2.3250000000000033</v>
      </c>
      <c r="J86" s="100">
        <f t="shared" si="1"/>
        <v>474.71850000000069</v>
      </c>
    </row>
    <row r="87" spans="1:10" ht="18.75" customHeight="1" x14ac:dyDescent="0.25">
      <c r="A87" s="9" t="s">
        <v>9</v>
      </c>
      <c r="B87" s="10">
        <v>60100</v>
      </c>
      <c r="C87" s="10" t="s">
        <v>30</v>
      </c>
      <c r="D87" s="95" t="s">
        <v>303</v>
      </c>
      <c r="E87" s="11" t="s">
        <v>474</v>
      </c>
      <c r="F87" s="17"/>
      <c r="G87" s="18"/>
      <c r="H87" s="13">
        <v>3</v>
      </c>
      <c r="I87" s="14">
        <v>0.95200000000000151</v>
      </c>
      <c r="J87" s="100">
        <f t="shared" si="1"/>
        <v>194.3793600000003</v>
      </c>
    </row>
    <row r="88" spans="1:10" ht="18.75" customHeight="1" x14ac:dyDescent="0.25">
      <c r="A88" s="9" t="s">
        <v>9</v>
      </c>
      <c r="B88" s="10">
        <v>64218</v>
      </c>
      <c r="C88" s="10" t="s">
        <v>10</v>
      </c>
      <c r="D88" s="95" t="s">
        <v>280</v>
      </c>
      <c r="E88" s="11" t="s">
        <v>281</v>
      </c>
      <c r="F88" s="17" t="s">
        <v>282</v>
      </c>
      <c r="G88" s="18" t="s">
        <v>283</v>
      </c>
      <c r="H88" s="13">
        <v>3</v>
      </c>
      <c r="I88" s="14">
        <v>1.9701111111111151</v>
      </c>
      <c r="J88" s="100">
        <f t="shared" si="1"/>
        <v>402.25728666666748</v>
      </c>
    </row>
    <row r="89" spans="1:10" ht="18.75" customHeight="1" x14ac:dyDescent="0.25">
      <c r="A89" s="9" t="s">
        <v>9</v>
      </c>
      <c r="B89" s="10">
        <v>60104</v>
      </c>
      <c r="C89" s="10" t="s">
        <v>10</v>
      </c>
      <c r="D89" s="95" t="s">
        <v>285</v>
      </c>
      <c r="E89" s="11" t="s">
        <v>286</v>
      </c>
      <c r="F89" s="17"/>
      <c r="G89" s="18"/>
      <c r="H89" s="13">
        <v>3</v>
      </c>
      <c r="I89" s="14">
        <v>1.9367249999999938</v>
      </c>
      <c r="J89" s="100">
        <f t="shared" si="1"/>
        <v>395.44051049999877</v>
      </c>
    </row>
    <row r="90" spans="1:10" ht="18.75" customHeight="1" x14ac:dyDescent="0.25">
      <c r="A90" s="9" t="s">
        <v>9</v>
      </c>
      <c r="B90" s="10">
        <v>60104</v>
      </c>
      <c r="C90" s="10" t="s">
        <v>30</v>
      </c>
      <c r="D90" s="95" t="s">
        <v>285</v>
      </c>
      <c r="E90" s="11" t="s">
        <v>467</v>
      </c>
      <c r="F90" s="17"/>
      <c r="G90" s="18"/>
      <c r="H90" s="13">
        <v>3</v>
      </c>
      <c r="I90" s="14">
        <v>0.99960000000000149</v>
      </c>
      <c r="J90" s="100">
        <f t="shared" si="1"/>
        <v>204.09832800000032</v>
      </c>
    </row>
    <row r="91" spans="1:10" ht="18.75" customHeight="1" x14ac:dyDescent="0.25">
      <c r="A91" s="9" t="s">
        <v>9</v>
      </c>
      <c r="B91" s="10">
        <v>60230</v>
      </c>
      <c r="C91" s="10" t="s">
        <v>10</v>
      </c>
      <c r="D91" s="95" t="s">
        <v>197</v>
      </c>
      <c r="E91" s="11" t="s">
        <v>198</v>
      </c>
      <c r="F91" s="21"/>
      <c r="G91" s="22"/>
      <c r="H91" s="13">
        <v>3</v>
      </c>
      <c r="I91" s="14">
        <v>2.9749999999999996</v>
      </c>
      <c r="J91" s="100">
        <f t="shared" si="1"/>
        <v>607.43549999999993</v>
      </c>
    </row>
    <row r="92" spans="1:10" ht="18.75" customHeight="1" x14ac:dyDescent="0.25">
      <c r="A92" s="9" t="s">
        <v>9</v>
      </c>
      <c r="B92" s="10">
        <v>62021</v>
      </c>
      <c r="C92" s="10" t="s">
        <v>10</v>
      </c>
      <c r="D92" s="95" t="s">
        <v>803</v>
      </c>
      <c r="E92" s="11" t="s">
        <v>579</v>
      </c>
      <c r="F92" s="17" t="s">
        <v>580</v>
      </c>
      <c r="G92" s="18"/>
      <c r="H92" s="13">
        <v>2</v>
      </c>
      <c r="I92" s="14">
        <v>0.29999999999999399</v>
      </c>
      <c r="J92" s="100">
        <f t="shared" si="1"/>
        <v>61.253999999998776</v>
      </c>
    </row>
    <row r="93" spans="1:10" ht="18.75" customHeight="1" x14ac:dyDescent="0.25">
      <c r="A93" s="9" t="s">
        <v>9</v>
      </c>
      <c r="B93" s="10">
        <v>62157</v>
      </c>
      <c r="C93" s="10" t="s">
        <v>10</v>
      </c>
      <c r="D93" s="95" t="s">
        <v>578</v>
      </c>
      <c r="E93" s="11" t="s">
        <v>579</v>
      </c>
      <c r="F93" s="17" t="s">
        <v>580</v>
      </c>
      <c r="G93" s="18"/>
      <c r="H93" s="13">
        <v>2</v>
      </c>
      <c r="I93" s="14">
        <v>0.56666666666666354</v>
      </c>
      <c r="J93" s="100">
        <f t="shared" si="1"/>
        <v>115.70199999999937</v>
      </c>
    </row>
    <row r="94" spans="1:10" ht="18.75" customHeight="1" x14ac:dyDescent="0.25">
      <c r="A94" s="9" t="s">
        <v>9</v>
      </c>
      <c r="B94" s="10">
        <v>62006</v>
      </c>
      <c r="C94" s="10" t="s">
        <v>10</v>
      </c>
      <c r="D94" s="95" t="s">
        <v>145</v>
      </c>
      <c r="E94" s="11" t="s">
        <v>146</v>
      </c>
      <c r="F94" s="21" t="s">
        <v>147</v>
      </c>
      <c r="G94" s="12" t="s">
        <v>148</v>
      </c>
      <c r="H94" s="13">
        <v>2</v>
      </c>
      <c r="I94" s="14">
        <v>3.0333333333333332</v>
      </c>
      <c r="J94" s="100">
        <f t="shared" si="1"/>
        <v>619.346</v>
      </c>
    </row>
    <row r="95" spans="1:10" ht="18.75" customHeight="1" x14ac:dyDescent="0.25">
      <c r="A95" s="9" t="s">
        <v>9</v>
      </c>
      <c r="B95" s="10">
        <v>64206</v>
      </c>
      <c r="C95" s="10" t="s">
        <v>10</v>
      </c>
      <c r="D95" s="95" t="s">
        <v>424</v>
      </c>
      <c r="E95" s="11" t="s">
        <v>281</v>
      </c>
      <c r="F95" s="17" t="s">
        <v>282</v>
      </c>
      <c r="G95" s="18" t="s">
        <v>283</v>
      </c>
      <c r="H95" s="13">
        <v>3</v>
      </c>
      <c r="I95" s="14">
        <v>1.1899999999999993</v>
      </c>
      <c r="J95" s="100">
        <f t="shared" si="1"/>
        <v>242.97419999999985</v>
      </c>
    </row>
    <row r="96" spans="1:10" ht="18.75" customHeight="1" x14ac:dyDescent="0.25">
      <c r="A96" s="9" t="s">
        <v>9</v>
      </c>
      <c r="B96" s="10">
        <v>60037</v>
      </c>
      <c r="C96" s="10" t="s">
        <v>10</v>
      </c>
      <c r="D96" s="95" t="s">
        <v>242</v>
      </c>
      <c r="E96" s="11" t="s">
        <v>243</v>
      </c>
      <c r="F96" s="17" t="s">
        <v>123</v>
      </c>
      <c r="G96" s="18" t="s">
        <v>124</v>
      </c>
      <c r="H96" s="13">
        <v>2</v>
      </c>
      <c r="I96" s="14">
        <v>2</v>
      </c>
      <c r="J96" s="100">
        <f t="shared" si="1"/>
        <v>408.36</v>
      </c>
    </row>
    <row r="97" spans="1:10" ht="18.75" customHeight="1" x14ac:dyDescent="0.25">
      <c r="A97" s="9" t="s">
        <v>9</v>
      </c>
      <c r="B97" s="10">
        <v>64222</v>
      </c>
      <c r="C97" s="10" t="s">
        <v>10</v>
      </c>
      <c r="D97" s="95" t="s">
        <v>450</v>
      </c>
      <c r="E97" s="11" t="s">
        <v>281</v>
      </c>
      <c r="F97" s="17" t="s">
        <v>282</v>
      </c>
      <c r="G97" s="18" t="s">
        <v>283</v>
      </c>
      <c r="H97" s="13">
        <v>3</v>
      </c>
      <c r="I97" s="14">
        <v>1.071</v>
      </c>
      <c r="J97" s="100">
        <f t="shared" si="1"/>
        <v>218.67678000000001</v>
      </c>
    </row>
    <row r="98" spans="1:10" ht="18.75" customHeight="1" x14ac:dyDescent="0.25">
      <c r="A98" s="9" t="s">
        <v>9</v>
      </c>
      <c r="B98" s="10">
        <v>62184</v>
      </c>
      <c r="C98" s="10" t="s">
        <v>10</v>
      </c>
      <c r="D98" s="95" t="s">
        <v>590</v>
      </c>
      <c r="E98" s="11" t="s">
        <v>591</v>
      </c>
      <c r="F98" s="17" t="s">
        <v>347</v>
      </c>
      <c r="G98" s="18" t="s">
        <v>348</v>
      </c>
      <c r="H98" s="13">
        <v>2</v>
      </c>
      <c r="I98" s="14">
        <v>0.54444444444444728</v>
      </c>
      <c r="J98" s="100">
        <f t="shared" si="1"/>
        <v>111.16466666666724</v>
      </c>
    </row>
    <row r="99" spans="1:10" ht="18.75" customHeight="1" x14ac:dyDescent="0.25">
      <c r="A99" s="9" t="s">
        <v>9</v>
      </c>
      <c r="B99" s="10">
        <v>60060</v>
      </c>
      <c r="C99" s="10" t="s">
        <v>10</v>
      </c>
      <c r="D99" s="95" t="s">
        <v>996</v>
      </c>
      <c r="E99" s="11" t="s">
        <v>993</v>
      </c>
      <c r="F99" s="17" t="s">
        <v>994</v>
      </c>
      <c r="G99" s="18" t="s">
        <v>995</v>
      </c>
      <c r="H99" s="13">
        <v>5</v>
      </c>
      <c r="I99" s="14">
        <v>4.7100000000000003E-2</v>
      </c>
      <c r="J99" s="100">
        <f t="shared" si="1"/>
        <v>9.6168780000000016</v>
      </c>
    </row>
    <row r="100" spans="1:10" ht="18.75" customHeight="1" x14ac:dyDescent="0.25">
      <c r="A100" s="9" t="s">
        <v>9</v>
      </c>
      <c r="B100" s="10">
        <v>60133</v>
      </c>
      <c r="C100" s="10" t="s">
        <v>10</v>
      </c>
      <c r="D100" s="95" t="s">
        <v>253</v>
      </c>
      <c r="E100" s="11" t="s">
        <v>254</v>
      </c>
      <c r="F100" s="11" t="s">
        <v>255</v>
      </c>
      <c r="G100" s="12" t="s">
        <v>130</v>
      </c>
      <c r="H100" s="13">
        <v>3</v>
      </c>
      <c r="I100" s="14">
        <v>2.156874999999999</v>
      </c>
      <c r="J100" s="100">
        <f t="shared" si="1"/>
        <v>440.39073749999983</v>
      </c>
    </row>
    <row r="101" spans="1:10" ht="18.75" customHeight="1" x14ac:dyDescent="0.25">
      <c r="A101" s="9" t="s">
        <v>9</v>
      </c>
      <c r="B101" s="10">
        <v>60031</v>
      </c>
      <c r="C101" s="10" t="s">
        <v>10</v>
      </c>
      <c r="D101" s="95" t="s">
        <v>256</v>
      </c>
      <c r="E101" s="11" t="s">
        <v>257</v>
      </c>
      <c r="F101" s="17"/>
      <c r="G101" s="18"/>
      <c r="H101" s="13">
        <v>2</v>
      </c>
      <c r="I101" s="14">
        <v>1.8</v>
      </c>
      <c r="J101" s="100">
        <f t="shared" si="1"/>
        <v>367.524</v>
      </c>
    </row>
    <row r="102" spans="1:10" ht="18.75" customHeight="1" x14ac:dyDescent="0.25">
      <c r="A102" s="9" t="s">
        <v>9</v>
      </c>
      <c r="B102" s="10">
        <v>60099</v>
      </c>
      <c r="C102" s="10" t="s">
        <v>30</v>
      </c>
      <c r="D102" s="95" t="s">
        <v>155</v>
      </c>
      <c r="E102" s="11" t="s">
        <v>156</v>
      </c>
      <c r="F102" s="17" t="s">
        <v>85</v>
      </c>
      <c r="G102" s="18" t="s">
        <v>86</v>
      </c>
      <c r="H102" s="13">
        <v>2</v>
      </c>
      <c r="I102" s="14">
        <v>1.8</v>
      </c>
      <c r="J102" s="100">
        <f t="shared" si="1"/>
        <v>367.524</v>
      </c>
    </row>
    <row r="103" spans="1:10" ht="18.75" customHeight="1" x14ac:dyDescent="0.25">
      <c r="A103" s="9" t="s">
        <v>9</v>
      </c>
      <c r="B103" s="10">
        <v>62123</v>
      </c>
      <c r="C103" s="10" t="s">
        <v>10</v>
      </c>
      <c r="D103" s="95" t="s">
        <v>258</v>
      </c>
      <c r="E103" s="11" t="s">
        <v>259</v>
      </c>
      <c r="F103" s="17" t="s">
        <v>260</v>
      </c>
      <c r="G103" s="18" t="s">
        <v>261</v>
      </c>
      <c r="H103" s="13">
        <v>2</v>
      </c>
      <c r="I103" s="14">
        <v>1.8</v>
      </c>
      <c r="J103" s="100">
        <f t="shared" si="1"/>
        <v>367.524</v>
      </c>
    </row>
    <row r="104" spans="1:10" ht="18.75" customHeight="1" x14ac:dyDescent="0.25">
      <c r="A104" s="9" t="s">
        <v>9</v>
      </c>
      <c r="B104" s="10">
        <v>62135</v>
      </c>
      <c r="C104" s="10" t="s">
        <v>30</v>
      </c>
      <c r="D104" s="95" t="s">
        <v>190</v>
      </c>
      <c r="E104" s="11" t="s">
        <v>290</v>
      </c>
      <c r="F104" s="17" t="s">
        <v>163</v>
      </c>
      <c r="G104" s="18" t="s">
        <v>164</v>
      </c>
      <c r="H104" s="13">
        <v>2</v>
      </c>
      <c r="I104" s="14">
        <v>1.6199999999999999</v>
      </c>
      <c r="J104" s="100">
        <f t="shared" si="1"/>
        <v>330.77159999999998</v>
      </c>
    </row>
    <row r="105" spans="1:10" ht="18.75" customHeight="1" x14ac:dyDescent="0.25">
      <c r="A105" s="9" t="s">
        <v>9</v>
      </c>
      <c r="B105" s="10">
        <v>60009</v>
      </c>
      <c r="C105" s="10" t="s">
        <v>10</v>
      </c>
      <c r="D105" s="95" t="s">
        <v>992</v>
      </c>
      <c r="E105" s="11" t="s">
        <v>993</v>
      </c>
      <c r="F105" s="17" t="s">
        <v>994</v>
      </c>
      <c r="G105" s="18" t="s">
        <v>995</v>
      </c>
      <c r="H105" s="13">
        <v>5</v>
      </c>
      <c r="I105" s="14">
        <v>4.7100000000000003E-2</v>
      </c>
      <c r="J105" s="100">
        <f t="shared" si="1"/>
        <v>9.6168780000000016</v>
      </c>
    </row>
    <row r="106" spans="1:10" ht="18.75" customHeight="1" x14ac:dyDescent="0.25">
      <c r="A106" s="9" t="s">
        <v>9</v>
      </c>
      <c r="B106" s="10">
        <v>62184</v>
      </c>
      <c r="C106" s="10" t="s">
        <v>30</v>
      </c>
      <c r="D106" s="95" t="s">
        <v>590</v>
      </c>
      <c r="E106" s="11" t="s">
        <v>754</v>
      </c>
      <c r="F106" s="17"/>
      <c r="G106" s="19"/>
      <c r="H106" s="13">
        <v>2</v>
      </c>
      <c r="I106" s="14">
        <v>0.32666666666666838</v>
      </c>
      <c r="J106" s="100">
        <f t="shared" si="1"/>
        <v>66.698800000000347</v>
      </c>
    </row>
    <row r="107" spans="1:10" ht="18.75" customHeight="1" x14ac:dyDescent="0.25">
      <c r="A107" s="9" t="s">
        <v>9</v>
      </c>
      <c r="B107" s="10">
        <v>60062</v>
      </c>
      <c r="C107" s="10" t="s">
        <v>10</v>
      </c>
      <c r="D107" s="95" t="s">
        <v>997</v>
      </c>
      <c r="E107" s="11" t="s">
        <v>993</v>
      </c>
      <c r="F107" s="17" t="s">
        <v>994</v>
      </c>
      <c r="G107" s="18" t="s">
        <v>995</v>
      </c>
      <c r="H107" s="13">
        <v>5</v>
      </c>
      <c r="I107" s="14">
        <v>4.7100000000000003E-2</v>
      </c>
      <c r="J107" s="100">
        <f t="shared" si="1"/>
        <v>9.6168780000000016</v>
      </c>
    </row>
    <row r="108" spans="1:10" ht="18.75" customHeight="1" x14ac:dyDescent="0.25">
      <c r="A108" s="9" t="s">
        <v>9</v>
      </c>
      <c r="B108" s="10">
        <v>62158</v>
      </c>
      <c r="C108" s="10" t="s">
        <v>10</v>
      </c>
      <c r="D108" s="95" t="s">
        <v>269</v>
      </c>
      <c r="E108" s="11" t="s">
        <v>270</v>
      </c>
      <c r="F108" s="17"/>
      <c r="G108" s="18"/>
      <c r="H108" s="13">
        <v>2</v>
      </c>
      <c r="I108" s="14">
        <v>1.7</v>
      </c>
      <c r="J108" s="100">
        <f t="shared" si="1"/>
        <v>347.10599999999999</v>
      </c>
    </row>
    <row r="109" spans="1:10" ht="18.75" customHeight="1" x14ac:dyDescent="0.25">
      <c r="A109" s="9" t="s">
        <v>9</v>
      </c>
      <c r="B109" s="29">
        <v>62224</v>
      </c>
      <c r="C109" s="10" t="s">
        <v>10</v>
      </c>
      <c r="D109" s="95" t="s">
        <v>970</v>
      </c>
      <c r="E109" s="11" t="s">
        <v>967</v>
      </c>
      <c r="F109" s="17"/>
      <c r="G109" s="18"/>
      <c r="H109" s="13">
        <v>5</v>
      </c>
      <c r="I109" s="14">
        <v>7.8500000000000014E-2</v>
      </c>
      <c r="J109" s="100">
        <f t="shared" si="1"/>
        <v>16.028130000000004</v>
      </c>
    </row>
    <row r="110" spans="1:10" ht="18.75" customHeight="1" x14ac:dyDescent="0.25">
      <c r="A110" s="9" t="s">
        <v>9</v>
      </c>
      <c r="B110" s="10">
        <v>62022</v>
      </c>
      <c r="C110" s="10" t="s">
        <v>10</v>
      </c>
      <c r="D110" s="95" t="s">
        <v>966</v>
      </c>
      <c r="E110" s="11" t="s">
        <v>967</v>
      </c>
      <c r="F110" s="17"/>
      <c r="G110" s="18"/>
      <c r="H110" s="13">
        <v>5</v>
      </c>
      <c r="I110" s="14">
        <v>0.1099</v>
      </c>
      <c r="J110" s="100">
        <f t="shared" si="1"/>
        <v>22.439382000000002</v>
      </c>
    </row>
    <row r="111" spans="1:10" ht="18.75" customHeight="1" x14ac:dyDescent="0.25">
      <c r="A111" s="9" t="s">
        <v>9</v>
      </c>
      <c r="B111" s="10">
        <v>60700</v>
      </c>
      <c r="C111" s="10" t="s">
        <v>10</v>
      </c>
      <c r="D111" s="95" t="s">
        <v>427</v>
      </c>
      <c r="E111" s="11" t="s">
        <v>428</v>
      </c>
      <c r="F111" s="21" t="s">
        <v>429</v>
      </c>
      <c r="G111" s="22" t="s">
        <v>430</v>
      </c>
      <c r="H111" s="13">
        <v>2</v>
      </c>
      <c r="I111" s="14">
        <v>0.99999999999999589</v>
      </c>
      <c r="J111" s="100">
        <f t="shared" si="1"/>
        <v>204.17999999999915</v>
      </c>
    </row>
    <row r="112" spans="1:10" ht="18.75" customHeight="1" x14ac:dyDescent="0.25">
      <c r="A112" s="9" t="s">
        <v>9</v>
      </c>
      <c r="B112" s="10">
        <v>60700</v>
      </c>
      <c r="C112" s="10" t="s">
        <v>30</v>
      </c>
      <c r="D112" s="95" t="s">
        <v>427</v>
      </c>
      <c r="E112" s="11" t="s">
        <v>564</v>
      </c>
      <c r="F112" s="21" t="s">
        <v>565</v>
      </c>
      <c r="G112" s="22" t="s">
        <v>566</v>
      </c>
      <c r="H112" s="13">
        <v>2</v>
      </c>
      <c r="I112" s="14">
        <v>0.59999999999999754</v>
      </c>
      <c r="J112" s="100">
        <f t="shared" si="1"/>
        <v>122.5079999999995</v>
      </c>
    </row>
    <row r="113" spans="1:10" ht="18.75" customHeight="1" x14ac:dyDescent="0.25">
      <c r="A113" s="9" t="s">
        <v>9</v>
      </c>
      <c r="B113" s="10">
        <v>62181</v>
      </c>
      <c r="C113" s="10" t="s">
        <v>10</v>
      </c>
      <c r="D113" s="95" t="s">
        <v>237</v>
      </c>
      <c r="E113" s="11" t="s">
        <v>102</v>
      </c>
      <c r="F113" s="17"/>
      <c r="G113" s="18"/>
      <c r="H113" s="13">
        <v>3</v>
      </c>
      <c r="I113" s="14">
        <v>2.4841249999999939</v>
      </c>
      <c r="J113" s="100">
        <f t="shared" si="1"/>
        <v>507.2086424999988</v>
      </c>
    </row>
    <row r="114" spans="1:10" ht="18.75" customHeight="1" x14ac:dyDescent="0.25">
      <c r="A114" s="9" t="s">
        <v>9</v>
      </c>
      <c r="B114" s="10">
        <v>62020</v>
      </c>
      <c r="C114" s="10" t="s">
        <v>10</v>
      </c>
      <c r="D114" s="95" t="s">
        <v>443</v>
      </c>
      <c r="E114" s="11" t="s">
        <v>444</v>
      </c>
      <c r="F114" s="17" t="s">
        <v>347</v>
      </c>
      <c r="G114" s="18" t="s">
        <v>348</v>
      </c>
      <c r="H114" s="13">
        <v>2</v>
      </c>
      <c r="I114" s="14">
        <v>0.96666666666666057</v>
      </c>
      <c r="J114" s="100">
        <f t="shared" si="1"/>
        <v>197.37399999999877</v>
      </c>
    </row>
    <row r="115" spans="1:10" ht="18.75" customHeight="1" x14ac:dyDescent="0.25">
      <c r="A115" s="9" t="s">
        <v>9</v>
      </c>
      <c r="B115" s="10">
        <v>60066</v>
      </c>
      <c r="C115" s="10" t="s">
        <v>10</v>
      </c>
      <c r="D115" s="95" t="s">
        <v>1025</v>
      </c>
      <c r="E115" s="11" t="s">
        <v>967</v>
      </c>
      <c r="F115" s="17"/>
      <c r="G115" s="18"/>
      <c r="H115" s="13">
        <v>5</v>
      </c>
      <c r="I115" s="14">
        <v>2.2273950216450192E-2</v>
      </c>
      <c r="J115" s="100">
        <f t="shared" si="1"/>
        <v>4.5478951551948006</v>
      </c>
    </row>
    <row r="116" spans="1:10" ht="18.75" customHeight="1" x14ac:dyDescent="0.25">
      <c r="A116" s="9" t="s">
        <v>9</v>
      </c>
      <c r="B116" s="10">
        <v>62020</v>
      </c>
      <c r="C116" s="10" t="s">
        <v>30</v>
      </c>
      <c r="D116" s="95" t="s">
        <v>443</v>
      </c>
      <c r="E116" s="11" t="s">
        <v>573</v>
      </c>
      <c r="F116" s="17"/>
      <c r="G116" s="19"/>
      <c r="H116" s="13">
        <v>2</v>
      </c>
      <c r="I116" s="14">
        <v>0.5799999999999963</v>
      </c>
      <c r="J116" s="100">
        <f t="shared" si="1"/>
        <v>118.42439999999925</v>
      </c>
    </row>
    <row r="117" spans="1:10" ht="18.75" customHeight="1" x14ac:dyDescent="0.25">
      <c r="A117" s="9" t="s">
        <v>9</v>
      </c>
      <c r="B117" s="10">
        <v>62186</v>
      </c>
      <c r="C117" s="10" t="s">
        <v>10</v>
      </c>
      <c r="D117" s="95" t="s">
        <v>435</v>
      </c>
      <c r="E117" s="11" t="s">
        <v>436</v>
      </c>
      <c r="F117" s="26" t="s">
        <v>437</v>
      </c>
      <c r="G117" s="27" t="s">
        <v>438</v>
      </c>
      <c r="H117" s="13">
        <v>2</v>
      </c>
      <c r="I117" s="14">
        <v>0.98750000000000371</v>
      </c>
      <c r="J117" s="100">
        <f t="shared" si="1"/>
        <v>201.62775000000076</v>
      </c>
    </row>
    <row r="118" spans="1:10" ht="18.75" customHeight="1" x14ac:dyDescent="0.25">
      <c r="A118" s="9" t="s">
        <v>9</v>
      </c>
      <c r="B118" s="10">
        <v>64239</v>
      </c>
      <c r="C118" s="10" t="s">
        <v>10</v>
      </c>
      <c r="D118" s="95" t="s">
        <v>287</v>
      </c>
      <c r="E118" s="11" t="s">
        <v>288</v>
      </c>
      <c r="F118" s="17" t="s">
        <v>289</v>
      </c>
      <c r="G118" s="28"/>
      <c r="H118" s="13">
        <v>3</v>
      </c>
      <c r="I118" s="14">
        <v>1.9337500000000027</v>
      </c>
      <c r="J118" s="100">
        <f t="shared" si="1"/>
        <v>394.83307500000058</v>
      </c>
    </row>
    <row r="119" spans="1:10" ht="18.75" customHeight="1" x14ac:dyDescent="0.25">
      <c r="A119" s="9" t="s">
        <v>9</v>
      </c>
      <c r="B119" s="10">
        <v>62137</v>
      </c>
      <c r="C119" s="10" t="s">
        <v>10</v>
      </c>
      <c r="D119" s="95" t="s">
        <v>161</v>
      </c>
      <c r="E119" s="11" t="s">
        <v>162</v>
      </c>
      <c r="F119" s="17" t="s">
        <v>163</v>
      </c>
      <c r="G119" s="18" t="s">
        <v>164</v>
      </c>
      <c r="H119" s="13">
        <v>2</v>
      </c>
      <c r="I119" s="14">
        <v>3</v>
      </c>
      <c r="J119" s="100">
        <f t="shared" si="1"/>
        <v>612.54</v>
      </c>
    </row>
    <row r="120" spans="1:10" ht="18.75" customHeight="1" x14ac:dyDescent="0.25">
      <c r="A120" s="9" t="s">
        <v>9</v>
      </c>
      <c r="B120" s="10">
        <v>62186</v>
      </c>
      <c r="C120" s="10" t="s">
        <v>30</v>
      </c>
      <c r="D120" s="95" t="s">
        <v>435</v>
      </c>
      <c r="E120" s="11" t="s">
        <v>571</v>
      </c>
      <c r="F120" s="17"/>
      <c r="G120" s="19"/>
      <c r="H120" s="13">
        <v>2</v>
      </c>
      <c r="I120" s="14">
        <v>0.59250000000000225</v>
      </c>
      <c r="J120" s="100">
        <f t="shared" si="1"/>
        <v>120.97665000000046</v>
      </c>
    </row>
    <row r="121" spans="1:10" ht="18.75" customHeight="1" x14ac:dyDescent="0.25">
      <c r="A121" s="9" t="s">
        <v>9</v>
      </c>
      <c r="B121" s="10">
        <v>62321</v>
      </c>
      <c r="C121" s="10" t="s">
        <v>10</v>
      </c>
      <c r="D121" s="95" t="s">
        <v>293</v>
      </c>
      <c r="E121" s="11" t="s">
        <v>294</v>
      </c>
      <c r="F121" s="17" t="s">
        <v>123</v>
      </c>
      <c r="G121" s="18" t="s">
        <v>124</v>
      </c>
      <c r="H121" s="13">
        <v>2</v>
      </c>
      <c r="I121" s="14">
        <v>1.6</v>
      </c>
      <c r="J121" s="100">
        <f t="shared" si="1"/>
        <v>326.68800000000005</v>
      </c>
    </row>
    <row r="122" spans="1:10" ht="18.75" customHeight="1" x14ac:dyDescent="0.25">
      <c r="A122" s="9" t="s">
        <v>9</v>
      </c>
      <c r="B122" s="10">
        <v>62188</v>
      </c>
      <c r="C122" s="10" t="s">
        <v>10</v>
      </c>
      <c r="D122" s="95" t="s">
        <v>350</v>
      </c>
      <c r="E122" s="11" t="s">
        <v>351</v>
      </c>
      <c r="F122" s="17"/>
      <c r="G122" s="19"/>
      <c r="H122" s="13">
        <v>2</v>
      </c>
      <c r="I122" s="14">
        <v>1.3</v>
      </c>
      <c r="J122" s="100">
        <f t="shared" si="1"/>
        <v>265.43400000000003</v>
      </c>
    </row>
    <row r="123" spans="1:10" ht="18.75" customHeight="1" x14ac:dyDescent="0.25">
      <c r="A123" s="9" t="s">
        <v>9</v>
      </c>
      <c r="B123" s="10">
        <v>60161</v>
      </c>
      <c r="C123" s="10" t="s">
        <v>10</v>
      </c>
      <c r="D123" s="95" t="s">
        <v>454</v>
      </c>
      <c r="E123" s="11" t="s">
        <v>398</v>
      </c>
      <c r="F123" s="11" t="s">
        <v>399</v>
      </c>
      <c r="G123" s="12"/>
      <c r="H123" s="13">
        <v>2</v>
      </c>
      <c r="I123" s="14">
        <v>0.89999999999999092</v>
      </c>
      <c r="J123" s="100">
        <f t="shared" si="1"/>
        <v>183.76199999999815</v>
      </c>
    </row>
    <row r="124" spans="1:10" ht="18.75" customHeight="1" x14ac:dyDescent="0.25">
      <c r="A124" s="9" t="s">
        <v>9</v>
      </c>
      <c r="B124" s="10">
        <v>68001</v>
      </c>
      <c r="C124" s="10" t="s">
        <v>10</v>
      </c>
      <c r="D124" s="95" t="s">
        <v>301</v>
      </c>
      <c r="E124" s="11" t="s">
        <v>302</v>
      </c>
      <c r="F124" s="17" t="s">
        <v>63</v>
      </c>
      <c r="G124" s="18" t="s">
        <v>64</v>
      </c>
      <c r="H124" s="13">
        <v>2</v>
      </c>
      <c r="I124" s="14">
        <v>1.5499999999999976</v>
      </c>
      <c r="J124" s="100">
        <f t="shared" si="1"/>
        <v>316.47899999999953</v>
      </c>
    </row>
    <row r="125" spans="1:10" ht="18.75" customHeight="1" x14ac:dyDescent="0.25">
      <c r="A125" s="9" t="s">
        <v>9</v>
      </c>
      <c r="B125" s="10">
        <v>62188</v>
      </c>
      <c r="C125" s="10" t="s">
        <v>30</v>
      </c>
      <c r="D125" s="95" t="s">
        <v>350</v>
      </c>
      <c r="E125" s="11" t="s">
        <v>486</v>
      </c>
      <c r="F125" s="17" t="s">
        <v>487</v>
      </c>
      <c r="G125" s="18" t="s">
        <v>488</v>
      </c>
      <c r="H125" s="13">
        <v>2</v>
      </c>
      <c r="I125" s="14">
        <v>0.78</v>
      </c>
      <c r="J125" s="100">
        <f t="shared" si="1"/>
        <v>159.2604</v>
      </c>
    </row>
    <row r="126" spans="1:10" ht="18.75" customHeight="1" x14ac:dyDescent="0.25">
      <c r="A126" s="9" t="s">
        <v>9</v>
      </c>
      <c r="B126" s="10">
        <v>60017</v>
      </c>
      <c r="C126" s="10" t="s">
        <v>30</v>
      </c>
      <c r="D126" s="95" t="s">
        <v>49</v>
      </c>
      <c r="E126" s="11" t="s">
        <v>305</v>
      </c>
      <c r="F126" s="17" t="s">
        <v>51</v>
      </c>
      <c r="G126" s="18" t="s">
        <v>52</v>
      </c>
      <c r="H126" s="13">
        <v>2</v>
      </c>
      <c r="I126" s="14">
        <v>1.5</v>
      </c>
      <c r="J126" s="100">
        <f t="shared" si="1"/>
        <v>306.27</v>
      </c>
    </row>
    <row r="127" spans="1:10" ht="18.75" customHeight="1" x14ac:dyDescent="0.25">
      <c r="A127" s="9" t="s">
        <v>9</v>
      </c>
      <c r="B127" s="10">
        <v>60162</v>
      </c>
      <c r="C127" s="10" t="s">
        <v>10</v>
      </c>
      <c r="D127" s="95" t="s">
        <v>397</v>
      </c>
      <c r="E127" s="11" t="s">
        <v>398</v>
      </c>
      <c r="F127" s="11" t="s">
        <v>399</v>
      </c>
      <c r="G127" s="12"/>
      <c r="H127" s="13">
        <v>2</v>
      </c>
      <c r="I127" s="14">
        <v>1.099999999999991</v>
      </c>
      <c r="J127" s="100">
        <f t="shared" si="1"/>
        <v>224.59799999999817</v>
      </c>
    </row>
    <row r="128" spans="1:10" ht="18.75" customHeight="1" x14ac:dyDescent="0.25">
      <c r="A128" s="9" t="s">
        <v>9</v>
      </c>
      <c r="B128" s="10">
        <v>60152</v>
      </c>
      <c r="C128" s="10" t="s">
        <v>30</v>
      </c>
      <c r="D128" s="95" t="s">
        <v>92</v>
      </c>
      <c r="E128" s="11" t="s">
        <v>306</v>
      </c>
      <c r="F128" s="17" t="s">
        <v>94</v>
      </c>
      <c r="G128" s="18" t="s">
        <v>35</v>
      </c>
      <c r="H128" s="13">
        <v>3</v>
      </c>
      <c r="I128" s="14">
        <v>1.7849999999999999</v>
      </c>
      <c r="J128" s="100">
        <f t="shared" si="1"/>
        <v>364.46129999999999</v>
      </c>
    </row>
    <row r="129" spans="1:11" ht="18.75" customHeight="1" x14ac:dyDescent="0.25">
      <c r="A129" s="9" t="s">
        <v>9</v>
      </c>
      <c r="B129" s="10">
        <v>60034</v>
      </c>
      <c r="C129" s="10" t="s">
        <v>30</v>
      </c>
      <c r="D129" s="95" t="s">
        <v>958</v>
      </c>
      <c r="E129" s="11" t="s">
        <v>969</v>
      </c>
      <c r="F129" s="17"/>
      <c r="G129" s="18"/>
      <c r="H129" s="13">
        <v>2</v>
      </c>
      <c r="I129" s="14">
        <v>6.4624999999999946E-2</v>
      </c>
      <c r="J129" s="100">
        <f t="shared" si="1"/>
        <v>13.195132499999989</v>
      </c>
    </row>
    <row r="130" spans="1:11" ht="18.75" customHeight="1" x14ac:dyDescent="0.25">
      <c r="A130" s="9" t="s">
        <v>9</v>
      </c>
      <c r="B130" s="10">
        <v>60087</v>
      </c>
      <c r="C130" s="10" t="s">
        <v>10</v>
      </c>
      <c r="D130" s="95" t="s">
        <v>968</v>
      </c>
      <c r="E130" s="11" t="s">
        <v>959</v>
      </c>
      <c r="F130" s="17" t="s">
        <v>960</v>
      </c>
      <c r="G130" s="18" t="s">
        <v>961</v>
      </c>
      <c r="H130" s="13">
        <v>2</v>
      </c>
      <c r="I130" s="14">
        <v>6.7987891737891576E-2</v>
      </c>
      <c r="J130" s="100">
        <f t="shared" si="1"/>
        <v>13.881767735042702</v>
      </c>
    </row>
    <row r="131" spans="1:11" ht="18.75" customHeight="1" x14ac:dyDescent="0.25">
      <c r="A131" s="9" t="s">
        <v>9</v>
      </c>
      <c r="B131" s="10">
        <v>60134</v>
      </c>
      <c r="C131" s="10" t="s">
        <v>10</v>
      </c>
      <c r="D131" s="95" t="s">
        <v>309</v>
      </c>
      <c r="E131" s="11" t="s">
        <v>310</v>
      </c>
      <c r="F131" s="11" t="s">
        <v>129</v>
      </c>
      <c r="G131" s="12" t="s">
        <v>130</v>
      </c>
      <c r="H131" s="13">
        <v>3</v>
      </c>
      <c r="I131" s="14">
        <v>1.7569999999999992</v>
      </c>
      <c r="J131" s="100">
        <f t="shared" ref="J131:J194" si="2">I131*204.18</f>
        <v>358.74425999999983</v>
      </c>
    </row>
    <row r="132" spans="1:11" ht="18.75" customHeight="1" x14ac:dyDescent="0.25">
      <c r="A132" s="9" t="s">
        <v>9</v>
      </c>
      <c r="B132" s="10">
        <v>62314</v>
      </c>
      <c r="C132" s="10" t="s">
        <v>10</v>
      </c>
      <c r="D132" s="95" t="s">
        <v>311</v>
      </c>
      <c r="E132" s="11" t="s">
        <v>312</v>
      </c>
      <c r="F132" s="17" t="s">
        <v>313</v>
      </c>
      <c r="G132" s="18" t="s">
        <v>314</v>
      </c>
      <c r="H132" s="13">
        <v>2</v>
      </c>
      <c r="I132" s="14">
        <v>1.4599999999999986</v>
      </c>
      <c r="J132" s="100">
        <f t="shared" si="2"/>
        <v>298.10279999999972</v>
      </c>
    </row>
    <row r="133" spans="1:11" ht="18.75" customHeight="1" x14ac:dyDescent="0.25">
      <c r="A133" s="9" t="s">
        <v>9</v>
      </c>
      <c r="B133" s="10">
        <v>62137</v>
      </c>
      <c r="C133" s="10" t="s">
        <v>30</v>
      </c>
      <c r="D133" s="95" t="s">
        <v>161</v>
      </c>
      <c r="E133" s="11" t="s">
        <v>262</v>
      </c>
      <c r="F133" s="17" t="s">
        <v>163</v>
      </c>
      <c r="G133" s="18" t="s">
        <v>164</v>
      </c>
      <c r="H133" s="13">
        <v>2</v>
      </c>
      <c r="I133" s="14">
        <v>1.8</v>
      </c>
      <c r="J133" s="100">
        <f t="shared" si="2"/>
        <v>367.524</v>
      </c>
    </row>
    <row r="134" spans="1:11" ht="18.75" customHeight="1" x14ac:dyDescent="0.25">
      <c r="A134" s="9" t="s">
        <v>9</v>
      </c>
      <c r="B134" s="10">
        <v>62097</v>
      </c>
      <c r="C134" s="10" t="s">
        <v>10</v>
      </c>
      <c r="D134" s="95" t="s">
        <v>940</v>
      </c>
      <c r="E134" s="11" t="s">
        <v>941</v>
      </c>
      <c r="F134" s="17" t="s">
        <v>942</v>
      </c>
      <c r="G134" s="18" t="s">
        <v>943</v>
      </c>
      <c r="H134" s="13">
        <v>2</v>
      </c>
      <c r="I134" s="14">
        <v>0.1</v>
      </c>
      <c r="J134" s="100">
        <f t="shared" si="2"/>
        <v>20.418000000000003</v>
      </c>
    </row>
    <row r="135" spans="1:11" ht="18.75" customHeight="1" x14ac:dyDescent="0.25">
      <c r="A135" s="9" t="s">
        <v>9</v>
      </c>
      <c r="B135" s="10">
        <v>62190</v>
      </c>
      <c r="C135" s="10" t="s">
        <v>10</v>
      </c>
      <c r="D135" s="95" t="s">
        <v>439</v>
      </c>
      <c r="E135" s="11" t="s">
        <v>440</v>
      </c>
      <c r="F135" s="17" t="s">
        <v>441</v>
      </c>
      <c r="G135" s="18" t="s">
        <v>442</v>
      </c>
      <c r="H135" s="13">
        <v>2</v>
      </c>
      <c r="I135" s="14">
        <v>0.98571428571428876</v>
      </c>
      <c r="J135" s="100">
        <f t="shared" si="2"/>
        <v>201.26314285714349</v>
      </c>
    </row>
    <row r="136" spans="1:11" ht="18.75" customHeight="1" x14ac:dyDescent="0.25">
      <c r="A136" s="9" t="s">
        <v>9</v>
      </c>
      <c r="B136" s="10">
        <v>68007</v>
      </c>
      <c r="C136" s="10" t="s">
        <v>10</v>
      </c>
      <c r="D136" s="95" t="s">
        <v>944</v>
      </c>
      <c r="E136" s="11" t="s">
        <v>838</v>
      </c>
      <c r="F136" s="17" t="s">
        <v>945</v>
      </c>
      <c r="G136" s="18">
        <v>0</v>
      </c>
      <c r="H136" s="13">
        <v>2</v>
      </c>
      <c r="I136" s="14">
        <v>0.1</v>
      </c>
      <c r="J136" s="100">
        <f t="shared" si="2"/>
        <v>20.418000000000003</v>
      </c>
    </row>
    <row r="137" spans="1:11" ht="18.75" customHeight="1" x14ac:dyDescent="0.25">
      <c r="A137" s="9" t="s">
        <v>9</v>
      </c>
      <c r="B137" s="10">
        <v>62190</v>
      </c>
      <c r="C137" s="10" t="s">
        <v>30</v>
      </c>
      <c r="D137" s="95" t="s">
        <v>439</v>
      </c>
      <c r="E137" s="11" t="s">
        <v>572</v>
      </c>
      <c r="F137" s="17"/>
      <c r="G137" s="19"/>
      <c r="H137" s="13">
        <v>2</v>
      </c>
      <c r="I137" s="14">
        <v>0.59142857142857319</v>
      </c>
      <c r="J137" s="100">
        <f t="shared" si="2"/>
        <v>120.75788571428608</v>
      </c>
    </row>
    <row r="138" spans="1:11" ht="18.75" customHeight="1" x14ac:dyDescent="0.25">
      <c r="A138" s="9" t="s">
        <v>9</v>
      </c>
      <c r="B138" s="10">
        <v>62175</v>
      </c>
      <c r="C138" s="10" t="s">
        <v>30</v>
      </c>
      <c r="D138" s="95" t="s">
        <v>271</v>
      </c>
      <c r="E138" s="11" t="s">
        <v>272</v>
      </c>
      <c r="F138" s="17" t="s">
        <v>273</v>
      </c>
      <c r="G138" s="18" t="s">
        <v>274</v>
      </c>
      <c r="H138" s="13">
        <v>3</v>
      </c>
      <c r="I138" s="14">
        <v>2.0229999999999997</v>
      </c>
      <c r="J138" s="100">
        <f t="shared" si="2"/>
        <v>413.05613999999997</v>
      </c>
    </row>
    <row r="139" spans="1:11" ht="18.75" customHeight="1" x14ac:dyDescent="0.25">
      <c r="A139" s="9" t="s">
        <v>9</v>
      </c>
      <c r="B139" s="10">
        <v>62126</v>
      </c>
      <c r="C139" s="10" t="s">
        <v>10</v>
      </c>
      <c r="D139" s="95" t="s">
        <v>325</v>
      </c>
      <c r="E139" s="11" t="s">
        <v>326</v>
      </c>
      <c r="F139" s="17" t="s">
        <v>327</v>
      </c>
      <c r="G139" s="18" t="s">
        <v>328</v>
      </c>
      <c r="H139" s="13">
        <v>2</v>
      </c>
      <c r="I139" s="14">
        <v>1.4</v>
      </c>
      <c r="J139" s="100">
        <f t="shared" si="2"/>
        <v>285.85199999999998</v>
      </c>
    </row>
    <row r="140" spans="1:11" ht="18.75" customHeight="1" x14ac:dyDescent="0.25">
      <c r="A140" s="9" t="s">
        <v>9</v>
      </c>
      <c r="B140" s="10">
        <v>68031</v>
      </c>
      <c r="C140" s="10" t="s">
        <v>10</v>
      </c>
      <c r="D140" s="95" t="s">
        <v>329</v>
      </c>
      <c r="E140" s="11" t="s">
        <v>330</v>
      </c>
      <c r="F140" s="11" t="s">
        <v>331</v>
      </c>
      <c r="G140" s="12" t="s">
        <v>332</v>
      </c>
      <c r="H140" s="13">
        <v>2</v>
      </c>
      <c r="I140" s="14">
        <v>1.4</v>
      </c>
      <c r="J140" s="100">
        <f t="shared" si="2"/>
        <v>285.85199999999998</v>
      </c>
    </row>
    <row r="141" spans="1:11" ht="18.75" customHeight="1" x14ac:dyDescent="0.25">
      <c r="A141" s="9" t="s">
        <v>9</v>
      </c>
      <c r="B141" s="10">
        <v>62220</v>
      </c>
      <c r="C141" s="10" t="s">
        <v>10</v>
      </c>
      <c r="D141" s="95" t="s">
        <v>513</v>
      </c>
      <c r="E141" s="11" t="s">
        <v>514</v>
      </c>
      <c r="F141" s="17" t="s">
        <v>441</v>
      </c>
      <c r="G141" s="18" t="s">
        <v>442</v>
      </c>
      <c r="H141" s="13">
        <v>2</v>
      </c>
      <c r="I141" s="14">
        <v>0.70000000000000306</v>
      </c>
      <c r="J141" s="100">
        <f t="shared" si="2"/>
        <v>142.92600000000064</v>
      </c>
    </row>
    <row r="142" spans="1:11" ht="18.75" customHeight="1" x14ac:dyDescent="0.25">
      <c r="A142" s="9" t="s">
        <v>9</v>
      </c>
      <c r="B142" s="10">
        <v>60027</v>
      </c>
      <c r="C142" s="10" t="s">
        <v>30</v>
      </c>
      <c r="D142" s="95" t="s">
        <v>222</v>
      </c>
      <c r="E142" s="11" t="s">
        <v>336</v>
      </c>
      <c r="F142" s="17" t="s">
        <v>224</v>
      </c>
      <c r="G142" s="18"/>
      <c r="H142" s="13">
        <v>2</v>
      </c>
      <c r="I142" s="14">
        <v>1.3950000000000018</v>
      </c>
      <c r="J142" s="100">
        <f t="shared" si="2"/>
        <v>284.83110000000039</v>
      </c>
    </row>
    <row r="143" spans="1:11" ht="18.75" customHeight="1" x14ac:dyDescent="0.25">
      <c r="A143" s="9" t="s">
        <v>9</v>
      </c>
      <c r="B143" s="10">
        <v>64083</v>
      </c>
      <c r="C143" s="10" t="s">
        <v>10</v>
      </c>
      <c r="D143" s="95" t="s">
        <v>337</v>
      </c>
      <c r="E143" s="11" t="s">
        <v>60</v>
      </c>
      <c r="F143" s="17"/>
      <c r="G143" s="18"/>
      <c r="H143" s="13">
        <v>2</v>
      </c>
      <c r="I143" s="14">
        <v>1.375000000000002</v>
      </c>
      <c r="J143" s="100">
        <f t="shared" si="2"/>
        <v>280.7475000000004</v>
      </c>
      <c r="K143" s="23"/>
    </row>
    <row r="144" spans="1:11" ht="18.75" customHeight="1" x14ac:dyDescent="0.25">
      <c r="A144" s="9" t="s">
        <v>9</v>
      </c>
      <c r="B144" s="10">
        <v>62220</v>
      </c>
      <c r="C144" s="10" t="s">
        <v>30</v>
      </c>
      <c r="D144" s="95" t="s">
        <v>513</v>
      </c>
      <c r="E144" s="11" t="s">
        <v>669</v>
      </c>
      <c r="F144" s="17"/>
      <c r="G144" s="92"/>
      <c r="H144" s="13">
        <v>2</v>
      </c>
      <c r="I144" s="14">
        <v>0.42000000000000182</v>
      </c>
      <c r="J144" s="100">
        <f t="shared" si="2"/>
        <v>85.755600000000371</v>
      </c>
    </row>
    <row r="145" spans="1:10" ht="18.75" customHeight="1" x14ac:dyDescent="0.25">
      <c r="A145" s="9" t="s">
        <v>9</v>
      </c>
      <c r="B145" s="10">
        <v>62195</v>
      </c>
      <c r="C145" s="10" t="s">
        <v>10</v>
      </c>
      <c r="D145" s="95" t="s">
        <v>392</v>
      </c>
      <c r="E145" s="11" t="s">
        <v>393</v>
      </c>
      <c r="F145" s="17" t="s">
        <v>394</v>
      </c>
      <c r="G145" s="18" t="s">
        <v>395</v>
      </c>
      <c r="H145" s="13">
        <v>2</v>
      </c>
      <c r="I145" s="14">
        <v>1.1199999999999983</v>
      </c>
      <c r="J145" s="100">
        <f t="shared" si="2"/>
        <v>228.68159999999966</v>
      </c>
    </row>
    <row r="146" spans="1:10" ht="18.75" customHeight="1" x14ac:dyDescent="0.25">
      <c r="A146" s="9" t="s">
        <v>9</v>
      </c>
      <c r="B146" s="10">
        <v>62195</v>
      </c>
      <c r="C146" s="10" t="s">
        <v>30</v>
      </c>
      <c r="D146" s="95" t="s">
        <v>392</v>
      </c>
      <c r="E146" s="11" t="s">
        <v>525</v>
      </c>
      <c r="F146" s="17"/>
      <c r="G146" s="19"/>
      <c r="H146" s="13">
        <v>2</v>
      </c>
      <c r="I146" s="14">
        <v>0.67199999999999904</v>
      </c>
      <c r="J146" s="100">
        <f t="shared" si="2"/>
        <v>137.20895999999982</v>
      </c>
    </row>
    <row r="147" spans="1:10" ht="18.75" customHeight="1" x14ac:dyDescent="0.25">
      <c r="A147" s="9" t="s">
        <v>9</v>
      </c>
      <c r="B147" s="10">
        <v>60128</v>
      </c>
      <c r="C147" s="10" t="s">
        <v>10</v>
      </c>
      <c r="D147" s="95" t="s">
        <v>341</v>
      </c>
      <c r="E147" s="11" t="s">
        <v>342</v>
      </c>
      <c r="F147" s="21" t="s">
        <v>343</v>
      </c>
      <c r="G147" s="12" t="s">
        <v>344</v>
      </c>
      <c r="H147" s="13">
        <v>2</v>
      </c>
      <c r="I147" s="14">
        <v>1.3199999999999981</v>
      </c>
      <c r="J147" s="100">
        <f t="shared" si="2"/>
        <v>269.51759999999962</v>
      </c>
    </row>
    <row r="148" spans="1:10" ht="18.75" customHeight="1" x14ac:dyDescent="0.25">
      <c r="A148" s="9" t="s">
        <v>9</v>
      </c>
      <c r="B148" s="10">
        <v>62200</v>
      </c>
      <c r="C148" s="10" t="s">
        <v>10</v>
      </c>
      <c r="D148" s="95" t="s">
        <v>345</v>
      </c>
      <c r="E148" s="11" t="s">
        <v>346</v>
      </c>
      <c r="F148" s="17" t="s">
        <v>347</v>
      </c>
      <c r="G148" s="18" t="s">
        <v>348</v>
      </c>
      <c r="H148" s="13">
        <v>2</v>
      </c>
      <c r="I148" s="14">
        <v>1.30000000000001</v>
      </c>
      <c r="J148" s="100">
        <f t="shared" si="2"/>
        <v>265.43400000000207</v>
      </c>
    </row>
    <row r="149" spans="1:10" ht="18.75" customHeight="1" x14ac:dyDescent="0.25">
      <c r="A149" s="9" t="s">
        <v>9</v>
      </c>
      <c r="B149" s="10">
        <v>60097</v>
      </c>
      <c r="C149" s="10" t="s">
        <v>30</v>
      </c>
      <c r="D149" s="95" t="s">
        <v>118</v>
      </c>
      <c r="E149" s="11" t="s">
        <v>306</v>
      </c>
      <c r="F149" s="17" t="s">
        <v>119</v>
      </c>
      <c r="G149" s="18" t="s">
        <v>349</v>
      </c>
      <c r="H149" s="13">
        <v>3</v>
      </c>
      <c r="I149" s="14">
        <v>1.5469999999999999</v>
      </c>
      <c r="J149" s="100">
        <f t="shared" si="2"/>
        <v>315.86646000000002</v>
      </c>
    </row>
    <row r="150" spans="1:10" ht="18.75" customHeight="1" x14ac:dyDescent="0.25">
      <c r="A150" s="9" t="s">
        <v>9</v>
      </c>
      <c r="B150" s="10">
        <v>62200</v>
      </c>
      <c r="C150" s="10" t="s">
        <v>30</v>
      </c>
      <c r="D150" s="95" t="s">
        <v>345</v>
      </c>
      <c r="E150" s="11" t="s">
        <v>485</v>
      </c>
      <c r="F150" s="17"/>
      <c r="G150" s="19"/>
      <c r="H150" s="13">
        <v>2</v>
      </c>
      <c r="I150" s="14">
        <v>0.78000000000000591</v>
      </c>
      <c r="J150" s="100">
        <f t="shared" si="2"/>
        <v>159.26040000000123</v>
      </c>
    </row>
    <row r="151" spans="1:10" ht="18.75" customHeight="1" x14ac:dyDescent="0.25">
      <c r="A151" s="9" t="s">
        <v>9</v>
      </c>
      <c r="B151" s="10">
        <v>62030</v>
      </c>
      <c r="C151" s="10" t="s">
        <v>10</v>
      </c>
      <c r="D151" s="95" t="s">
        <v>352</v>
      </c>
      <c r="E151" s="11" t="s">
        <v>353</v>
      </c>
      <c r="F151" s="17" t="s">
        <v>354</v>
      </c>
      <c r="G151" s="18">
        <v>0</v>
      </c>
      <c r="H151" s="13">
        <v>2</v>
      </c>
      <c r="I151" s="14">
        <v>1.2999999999999989</v>
      </c>
      <c r="J151" s="100">
        <f t="shared" si="2"/>
        <v>265.4339999999998</v>
      </c>
    </row>
    <row r="152" spans="1:10" ht="18.75" customHeight="1" x14ac:dyDescent="0.25">
      <c r="A152" s="9" t="s">
        <v>9</v>
      </c>
      <c r="B152" s="10">
        <v>60005</v>
      </c>
      <c r="C152" s="10" t="s">
        <v>10</v>
      </c>
      <c r="D152" s="95" t="s">
        <v>355</v>
      </c>
      <c r="E152" s="11" t="s">
        <v>356</v>
      </c>
      <c r="F152" s="17" t="s">
        <v>151</v>
      </c>
      <c r="G152" s="18" t="s">
        <v>152</v>
      </c>
      <c r="H152" s="13">
        <v>2</v>
      </c>
      <c r="I152" s="14">
        <v>1.294736842105263</v>
      </c>
      <c r="J152" s="100">
        <f t="shared" si="2"/>
        <v>264.35936842105258</v>
      </c>
    </row>
    <row r="153" spans="1:10" ht="18.75" customHeight="1" x14ac:dyDescent="0.25">
      <c r="A153" s="9" t="s">
        <v>9</v>
      </c>
      <c r="B153" s="10">
        <v>66143</v>
      </c>
      <c r="C153" s="10" t="s">
        <v>10</v>
      </c>
      <c r="D153" s="95" t="s">
        <v>357</v>
      </c>
      <c r="E153" s="11" t="s">
        <v>358</v>
      </c>
      <c r="F153" s="17"/>
      <c r="G153" s="20"/>
      <c r="H153" s="13">
        <v>3</v>
      </c>
      <c r="I153" s="14">
        <v>1.540736842105263</v>
      </c>
      <c r="J153" s="100">
        <f t="shared" si="2"/>
        <v>314.58764842105262</v>
      </c>
    </row>
    <row r="154" spans="1:10" ht="18.75" customHeight="1" x14ac:dyDescent="0.25">
      <c r="A154" s="9" t="s">
        <v>9</v>
      </c>
      <c r="B154" s="10">
        <v>68026</v>
      </c>
      <c r="C154" s="10" t="s">
        <v>10</v>
      </c>
      <c r="D154" s="95" t="s">
        <v>359</v>
      </c>
      <c r="E154" s="11" t="s">
        <v>360</v>
      </c>
      <c r="F154" s="17" t="s">
        <v>361</v>
      </c>
      <c r="G154" s="20" t="s">
        <v>362</v>
      </c>
      <c r="H154" s="13">
        <v>2</v>
      </c>
      <c r="I154" s="14">
        <v>1.294736842105263</v>
      </c>
      <c r="J154" s="100">
        <f t="shared" si="2"/>
        <v>264.35936842105258</v>
      </c>
    </row>
    <row r="155" spans="1:10" ht="18.75" customHeight="1" x14ac:dyDescent="0.25">
      <c r="A155" s="9" t="s">
        <v>9</v>
      </c>
      <c r="B155" s="10">
        <v>62202</v>
      </c>
      <c r="C155" s="10" t="s">
        <v>10</v>
      </c>
      <c r="D155" s="95" t="s">
        <v>511</v>
      </c>
      <c r="E155" s="11" t="s">
        <v>512</v>
      </c>
      <c r="F155" s="17" t="s">
        <v>437</v>
      </c>
      <c r="G155" s="18" t="s">
        <v>438</v>
      </c>
      <c r="H155" s="13">
        <v>2</v>
      </c>
      <c r="I155" s="14">
        <v>0.70000000000000306</v>
      </c>
      <c r="J155" s="100">
        <f t="shared" si="2"/>
        <v>142.92600000000064</v>
      </c>
    </row>
    <row r="156" spans="1:10" ht="18.75" customHeight="1" x14ac:dyDescent="0.25">
      <c r="A156" s="9" t="s">
        <v>9</v>
      </c>
      <c r="B156" s="10">
        <v>62177</v>
      </c>
      <c r="C156" s="10" t="s">
        <v>10</v>
      </c>
      <c r="D156" s="95" t="s">
        <v>366</v>
      </c>
      <c r="E156" s="11" t="s">
        <v>367</v>
      </c>
      <c r="F156" s="17" t="s">
        <v>70</v>
      </c>
      <c r="G156" s="18" t="s">
        <v>71</v>
      </c>
      <c r="H156" s="13">
        <v>3</v>
      </c>
      <c r="I156" s="14">
        <v>1.5129999999999999</v>
      </c>
      <c r="J156" s="100">
        <f t="shared" si="2"/>
        <v>308.92433999999997</v>
      </c>
    </row>
    <row r="157" spans="1:10" ht="18.75" customHeight="1" x14ac:dyDescent="0.25">
      <c r="A157" s="9" t="s">
        <v>9</v>
      </c>
      <c r="B157" s="10">
        <v>66019</v>
      </c>
      <c r="C157" s="10" t="s">
        <v>10</v>
      </c>
      <c r="D157" s="95" t="s">
        <v>368</v>
      </c>
      <c r="E157" s="11" t="s">
        <v>369</v>
      </c>
      <c r="F157" s="17"/>
      <c r="G157" s="18"/>
      <c r="H157" s="13">
        <v>2</v>
      </c>
      <c r="I157" s="14">
        <v>1.2521885521885499</v>
      </c>
      <c r="J157" s="100">
        <f t="shared" si="2"/>
        <v>255.6718585858581</v>
      </c>
    </row>
    <row r="158" spans="1:10" ht="18.75" customHeight="1" x14ac:dyDescent="0.25">
      <c r="A158" s="9" t="s">
        <v>9</v>
      </c>
      <c r="B158" s="10">
        <v>62158</v>
      </c>
      <c r="C158" s="10" t="s">
        <v>30</v>
      </c>
      <c r="D158" s="95" t="s">
        <v>269</v>
      </c>
      <c r="E158" s="11" t="s">
        <v>370</v>
      </c>
      <c r="F158" s="17"/>
      <c r="G158" s="18"/>
      <c r="H158" s="13">
        <v>2</v>
      </c>
      <c r="I158" s="14">
        <v>1.2500000000000013</v>
      </c>
      <c r="J158" s="100">
        <f t="shared" si="2"/>
        <v>255.22500000000028</v>
      </c>
    </row>
    <row r="159" spans="1:10" ht="18.75" customHeight="1" x14ac:dyDescent="0.25">
      <c r="A159" s="9" t="s">
        <v>9</v>
      </c>
      <c r="B159" s="10">
        <v>64131</v>
      </c>
      <c r="C159" s="10" t="s">
        <v>10</v>
      </c>
      <c r="D159" s="95" t="s">
        <v>371</v>
      </c>
      <c r="E159" s="11" t="s">
        <v>372</v>
      </c>
      <c r="F159" s="21"/>
      <c r="G159" s="12"/>
      <c r="H159" s="13">
        <v>2</v>
      </c>
      <c r="I159" s="14">
        <v>1.2250000000000036</v>
      </c>
      <c r="J159" s="100">
        <f t="shared" si="2"/>
        <v>250.12050000000076</v>
      </c>
    </row>
    <row r="160" spans="1:10" ht="18.75" customHeight="1" x14ac:dyDescent="0.25">
      <c r="A160" s="9" t="s">
        <v>9</v>
      </c>
      <c r="B160" s="10">
        <v>62122</v>
      </c>
      <c r="C160" s="10" t="s">
        <v>10</v>
      </c>
      <c r="D160" s="95" t="s">
        <v>373</v>
      </c>
      <c r="E160" s="11" t="s">
        <v>374</v>
      </c>
      <c r="F160" s="17" t="s">
        <v>260</v>
      </c>
      <c r="G160" s="18" t="s">
        <v>261</v>
      </c>
      <c r="H160" s="13">
        <v>2</v>
      </c>
      <c r="I160" s="14">
        <v>1.2</v>
      </c>
      <c r="J160" s="100">
        <f t="shared" si="2"/>
        <v>245.01599999999999</v>
      </c>
    </row>
    <row r="161" spans="1:10" ht="18.75" customHeight="1" x14ac:dyDescent="0.25">
      <c r="A161" s="9" t="s">
        <v>9</v>
      </c>
      <c r="B161" s="10">
        <v>62175</v>
      </c>
      <c r="C161" s="10" t="s">
        <v>10</v>
      </c>
      <c r="D161" s="95" t="s">
        <v>271</v>
      </c>
      <c r="E161" s="11" t="s">
        <v>298</v>
      </c>
      <c r="F161" s="93" t="s">
        <v>299</v>
      </c>
      <c r="G161" s="18" t="s">
        <v>300</v>
      </c>
      <c r="H161" s="13">
        <v>3</v>
      </c>
      <c r="I161" s="14">
        <v>1.8445</v>
      </c>
      <c r="J161" s="100">
        <f t="shared" si="2"/>
        <v>376.61001000000005</v>
      </c>
    </row>
    <row r="162" spans="1:10" ht="18.75" customHeight="1" x14ac:dyDescent="0.25">
      <c r="A162" s="9" t="s">
        <v>9</v>
      </c>
      <c r="B162" s="10">
        <v>60139</v>
      </c>
      <c r="C162" s="10" t="s">
        <v>10</v>
      </c>
      <c r="D162" s="95" t="s">
        <v>567</v>
      </c>
      <c r="E162" s="11" t="s">
        <v>568</v>
      </c>
      <c r="F162" s="17" t="s">
        <v>569</v>
      </c>
      <c r="G162" s="18" t="s">
        <v>570</v>
      </c>
      <c r="H162" s="13">
        <v>2</v>
      </c>
      <c r="I162" s="14">
        <v>0.59907407407407409</v>
      </c>
      <c r="J162" s="100">
        <f t="shared" si="2"/>
        <v>122.31894444444445</v>
      </c>
    </row>
    <row r="163" spans="1:10" ht="18.75" customHeight="1" x14ac:dyDescent="0.25">
      <c r="A163" s="9" t="s">
        <v>9</v>
      </c>
      <c r="B163" s="10">
        <v>62202</v>
      </c>
      <c r="C163" s="10" t="s">
        <v>30</v>
      </c>
      <c r="D163" s="95" t="s">
        <v>511</v>
      </c>
      <c r="E163" s="11" t="s">
        <v>668</v>
      </c>
      <c r="F163" s="31"/>
      <c r="G163" s="19"/>
      <c r="H163" s="13">
        <v>2</v>
      </c>
      <c r="I163" s="14">
        <v>0.42000000000000182</v>
      </c>
      <c r="J163" s="100">
        <f t="shared" si="2"/>
        <v>85.755600000000371</v>
      </c>
    </row>
    <row r="164" spans="1:10" ht="18.75" customHeight="1" x14ac:dyDescent="0.25">
      <c r="A164" s="9" t="s">
        <v>9</v>
      </c>
      <c r="B164" s="10">
        <v>60126</v>
      </c>
      <c r="C164" s="10" t="s">
        <v>10</v>
      </c>
      <c r="D164" s="95" t="s">
        <v>382</v>
      </c>
      <c r="E164" s="11" t="s">
        <v>342</v>
      </c>
      <c r="F164" s="21" t="s">
        <v>343</v>
      </c>
      <c r="G164" s="30" t="s">
        <v>344</v>
      </c>
      <c r="H164" s="13">
        <v>2</v>
      </c>
      <c r="I164" s="14">
        <v>1.1812500000000008</v>
      </c>
      <c r="J164" s="100">
        <f t="shared" si="2"/>
        <v>241.18762500000017</v>
      </c>
    </row>
    <row r="165" spans="1:10" ht="18.75" customHeight="1" x14ac:dyDescent="0.25">
      <c r="A165" s="9" t="s">
        <v>9</v>
      </c>
      <c r="B165" s="10">
        <v>60127</v>
      </c>
      <c r="C165" s="10" t="s">
        <v>10</v>
      </c>
      <c r="D165" s="95" t="s">
        <v>383</v>
      </c>
      <c r="E165" s="11" t="s">
        <v>342</v>
      </c>
      <c r="F165" s="21" t="s">
        <v>343</v>
      </c>
      <c r="G165" s="12" t="s">
        <v>344</v>
      </c>
      <c r="H165" s="13">
        <v>2</v>
      </c>
      <c r="I165" s="14">
        <v>1.1812500000000008</v>
      </c>
      <c r="J165" s="100">
        <f t="shared" si="2"/>
        <v>241.18762500000017</v>
      </c>
    </row>
    <row r="166" spans="1:10" ht="18.75" customHeight="1" x14ac:dyDescent="0.25">
      <c r="A166" s="9" t="s">
        <v>9</v>
      </c>
      <c r="B166" s="10">
        <v>68010</v>
      </c>
      <c r="C166" s="10" t="s">
        <v>10</v>
      </c>
      <c r="D166" s="95" t="s">
        <v>837</v>
      </c>
      <c r="E166" s="11" t="s">
        <v>838</v>
      </c>
      <c r="F166" s="17"/>
      <c r="G166" s="28"/>
      <c r="H166" s="13">
        <v>2</v>
      </c>
      <c r="I166" s="14">
        <v>0.24166666666666439</v>
      </c>
      <c r="J166" s="100">
        <f t="shared" si="2"/>
        <v>49.343499999999537</v>
      </c>
    </row>
    <row r="167" spans="1:10" ht="18.75" customHeight="1" x14ac:dyDescent="0.25">
      <c r="A167" s="9" t="s">
        <v>9</v>
      </c>
      <c r="B167" s="10">
        <v>60320</v>
      </c>
      <c r="C167" s="10" t="s">
        <v>10</v>
      </c>
      <c r="D167" s="95" t="s">
        <v>108</v>
      </c>
      <c r="E167" s="11" t="s">
        <v>109</v>
      </c>
      <c r="F167" s="17"/>
      <c r="G167" s="18"/>
      <c r="H167" s="13">
        <v>3</v>
      </c>
      <c r="I167" s="14">
        <v>4.76</v>
      </c>
      <c r="J167" s="100">
        <f t="shared" si="2"/>
        <v>971.89679999999998</v>
      </c>
    </row>
    <row r="168" spans="1:10" ht="18.75" customHeight="1" x14ac:dyDescent="0.25">
      <c r="A168" s="9" t="s">
        <v>9</v>
      </c>
      <c r="B168" s="10">
        <v>62298</v>
      </c>
      <c r="C168" s="10" t="s">
        <v>30</v>
      </c>
      <c r="D168" s="95" t="s">
        <v>141</v>
      </c>
      <c r="E168" s="11" t="s">
        <v>375</v>
      </c>
      <c r="F168" s="17" t="s">
        <v>376</v>
      </c>
      <c r="G168" s="18" t="s">
        <v>377</v>
      </c>
      <c r="H168" s="13">
        <v>3</v>
      </c>
      <c r="I168" s="14">
        <v>1.4279999999999999</v>
      </c>
      <c r="J168" s="100">
        <f t="shared" si="2"/>
        <v>291.56903999999997</v>
      </c>
    </row>
    <row r="169" spans="1:10" ht="18.75" customHeight="1" x14ac:dyDescent="0.25">
      <c r="A169" s="9" t="s">
        <v>9</v>
      </c>
      <c r="B169" s="10">
        <v>62298</v>
      </c>
      <c r="C169" s="10" t="s">
        <v>10</v>
      </c>
      <c r="D169" s="95" t="s">
        <v>141</v>
      </c>
      <c r="E169" s="11" t="s">
        <v>142</v>
      </c>
      <c r="F169" s="17" t="s">
        <v>143</v>
      </c>
      <c r="G169" s="18" t="s">
        <v>144</v>
      </c>
      <c r="H169" s="13">
        <v>3</v>
      </c>
      <c r="I169" s="14">
        <v>3.8674999999999997</v>
      </c>
      <c r="J169" s="100">
        <f t="shared" si="2"/>
        <v>789.66615000000002</v>
      </c>
    </row>
    <row r="170" spans="1:10" ht="18.75" customHeight="1" x14ac:dyDescent="0.25">
      <c r="A170" s="9" t="s">
        <v>9</v>
      </c>
      <c r="B170" s="10">
        <v>60320</v>
      </c>
      <c r="C170" s="10" t="s">
        <v>30</v>
      </c>
      <c r="D170" s="95" t="s">
        <v>108</v>
      </c>
      <c r="E170" s="11" t="s">
        <v>217</v>
      </c>
      <c r="F170" s="17"/>
      <c r="G170" s="18"/>
      <c r="H170" s="13">
        <v>3</v>
      </c>
      <c r="I170" s="14">
        <v>2.8559999999999999</v>
      </c>
      <c r="J170" s="100">
        <f t="shared" si="2"/>
        <v>583.13807999999995</v>
      </c>
    </row>
    <row r="171" spans="1:10" ht="18.75" customHeight="1" x14ac:dyDescent="0.25">
      <c r="A171" s="9" t="s">
        <v>9</v>
      </c>
      <c r="B171" s="10">
        <v>60330</v>
      </c>
      <c r="C171" s="10" t="s">
        <v>10</v>
      </c>
      <c r="D171" s="95" t="s">
        <v>24</v>
      </c>
      <c r="E171" s="11" t="s">
        <v>25</v>
      </c>
      <c r="F171" s="17"/>
      <c r="G171" s="18"/>
      <c r="H171" s="13">
        <v>3</v>
      </c>
      <c r="I171" s="14">
        <v>21.419999999999998</v>
      </c>
      <c r="J171" s="100">
        <f t="shared" si="2"/>
        <v>4373.5356000000002</v>
      </c>
    </row>
    <row r="172" spans="1:10" ht="18.75" customHeight="1" x14ac:dyDescent="0.25">
      <c r="A172" s="9" t="s">
        <v>9</v>
      </c>
      <c r="B172" s="10">
        <v>60330</v>
      </c>
      <c r="C172" s="10" t="s">
        <v>30</v>
      </c>
      <c r="D172" s="95" t="s">
        <v>24</v>
      </c>
      <c r="E172" s="11" t="s">
        <v>42</v>
      </c>
      <c r="F172" s="17"/>
      <c r="G172" s="18"/>
      <c r="H172" s="13">
        <v>3</v>
      </c>
      <c r="I172" s="14">
        <v>12.852</v>
      </c>
      <c r="J172" s="100">
        <f t="shared" si="2"/>
        <v>2624.1213600000001</v>
      </c>
    </row>
    <row r="173" spans="1:10" ht="18.75" customHeight="1" x14ac:dyDescent="0.25">
      <c r="A173" s="9" t="s">
        <v>9</v>
      </c>
      <c r="B173" s="10">
        <v>62312</v>
      </c>
      <c r="C173" s="10" t="s">
        <v>10</v>
      </c>
      <c r="D173" s="95" t="s">
        <v>263</v>
      </c>
      <c r="E173" s="11" t="s">
        <v>264</v>
      </c>
      <c r="F173" s="17"/>
      <c r="G173" s="18"/>
      <c r="H173" s="13">
        <v>2</v>
      </c>
      <c r="I173" s="14">
        <v>1.7999999999999996</v>
      </c>
      <c r="J173" s="100">
        <f t="shared" si="2"/>
        <v>367.52399999999994</v>
      </c>
    </row>
    <row r="174" spans="1:10" ht="18.75" customHeight="1" x14ac:dyDescent="0.25">
      <c r="A174" s="9" t="s">
        <v>9</v>
      </c>
      <c r="B174" s="10">
        <v>64069</v>
      </c>
      <c r="C174" s="10" t="s">
        <v>10</v>
      </c>
      <c r="D174" s="95" t="s">
        <v>400</v>
      </c>
      <c r="E174" s="11" t="s">
        <v>401</v>
      </c>
      <c r="F174" s="17"/>
      <c r="G174" s="18"/>
      <c r="H174" s="13">
        <v>2</v>
      </c>
      <c r="I174" s="14">
        <v>1.0999999999999901</v>
      </c>
      <c r="J174" s="100">
        <f t="shared" si="2"/>
        <v>224.597999999998</v>
      </c>
    </row>
    <row r="175" spans="1:10" ht="18.75" customHeight="1" x14ac:dyDescent="0.25">
      <c r="A175" s="9" t="s">
        <v>9</v>
      </c>
      <c r="B175" s="10">
        <v>60031</v>
      </c>
      <c r="C175" s="10" t="s">
        <v>30</v>
      </c>
      <c r="D175" s="95" t="s">
        <v>256</v>
      </c>
      <c r="E175" s="11" t="s">
        <v>402</v>
      </c>
      <c r="F175" s="17"/>
      <c r="G175" s="18"/>
      <c r="H175" s="13">
        <v>2</v>
      </c>
      <c r="I175" s="14">
        <v>1.0799999999999998</v>
      </c>
      <c r="J175" s="100">
        <f t="shared" si="2"/>
        <v>220.51439999999997</v>
      </c>
    </row>
    <row r="176" spans="1:10" ht="18.75" customHeight="1" x14ac:dyDescent="0.25">
      <c r="A176" s="9" t="s">
        <v>9</v>
      </c>
      <c r="B176" s="10">
        <v>64176</v>
      </c>
      <c r="C176" s="10" t="s">
        <v>10</v>
      </c>
      <c r="D176" s="95" t="s">
        <v>403</v>
      </c>
      <c r="E176" s="11" t="s">
        <v>404</v>
      </c>
      <c r="F176" s="11" t="s">
        <v>13</v>
      </c>
      <c r="G176" s="12" t="s">
        <v>14</v>
      </c>
      <c r="H176" s="13">
        <v>2</v>
      </c>
      <c r="I176" s="14">
        <v>1.0714285714285743</v>
      </c>
      <c r="J176" s="100">
        <f t="shared" si="2"/>
        <v>218.7642857142863</v>
      </c>
    </row>
    <row r="177" spans="1:10" ht="18.75" customHeight="1" x14ac:dyDescent="0.25">
      <c r="A177" s="9" t="s">
        <v>9</v>
      </c>
      <c r="B177" s="10">
        <v>62181</v>
      </c>
      <c r="C177" s="10" t="s">
        <v>30</v>
      </c>
      <c r="D177" s="95" t="s">
        <v>237</v>
      </c>
      <c r="E177" s="11" t="s">
        <v>276</v>
      </c>
      <c r="F177" s="17"/>
      <c r="G177" s="18"/>
      <c r="H177" s="13">
        <v>3</v>
      </c>
      <c r="I177" s="14">
        <v>1.2693333333333314</v>
      </c>
      <c r="J177" s="100">
        <f t="shared" si="2"/>
        <v>259.17247999999961</v>
      </c>
    </row>
    <row r="178" spans="1:10" ht="18.75" customHeight="1" x14ac:dyDescent="0.25">
      <c r="A178" s="9" t="s">
        <v>9</v>
      </c>
      <c r="B178" s="10">
        <v>62003</v>
      </c>
      <c r="C178" s="10" t="s">
        <v>10</v>
      </c>
      <c r="D178" s="95" t="s">
        <v>236</v>
      </c>
      <c r="E178" s="11" t="s">
        <v>102</v>
      </c>
      <c r="F178" s="17"/>
      <c r="G178" s="18"/>
      <c r="H178" s="13">
        <v>3</v>
      </c>
      <c r="I178" s="14">
        <v>2.4841249999999939</v>
      </c>
      <c r="J178" s="100">
        <f t="shared" si="2"/>
        <v>507.2086424999988</v>
      </c>
    </row>
    <row r="179" spans="1:10" ht="18.75" customHeight="1" x14ac:dyDescent="0.25">
      <c r="A179" s="9" t="s">
        <v>9</v>
      </c>
      <c r="B179" s="10">
        <v>62003</v>
      </c>
      <c r="C179" s="10" t="s">
        <v>30</v>
      </c>
      <c r="D179" s="95" t="s">
        <v>236</v>
      </c>
      <c r="E179" s="11" t="s">
        <v>276</v>
      </c>
      <c r="F179" s="17"/>
      <c r="G179" s="18"/>
      <c r="H179" s="13">
        <v>3</v>
      </c>
      <c r="I179" s="14">
        <v>1.2693333333333314</v>
      </c>
      <c r="J179" s="100">
        <f t="shared" si="2"/>
        <v>259.17247999999961</v>
      </c>
    </row>
    <row r="180" spans="1:10" ht="18.75" customHeight="1" x14ac:dyDescent="0.25">
      <c r="A180" s="9" t="s">
        <v>9</v>
      </c>
      <c r="B180" s="10">
        <v>62198</v>
      </c>
      <c r="C180" s="10" t="s">
        <v>10</v>
      </c>
      <c r="D180" s="95" t="s">
        <v>238</v>
      </c>
      <c r="E180" s="11" t="s">
        <v>102</v>
      </c>
      <c r="F180" s="17"/>
      <c r="G180" s="18"/>
      <c r="H180" s="13">
        <v>3</v>
      </c>
      <c r="I180" s="14">
        <v>2.4841249999999939</v>
      </c>
      <c r="J180" s="100">
        <f t="shared" si="2"/>
        <v>507.2086424999988</v>
      </c>
    </row>
    <row r="181" spans="1:10" ht="18.75" customHeight="1" x14ac:dyDescent="0.25">
      <c r="A181" s="9" t="s">
        <v>9</v>
      </c>
      <c r="B181" s="10">
        <v>60111</v>
      </c>
      <c r="C181" s="10" t="s">
        <v>10</v>
      </c>
      <c r="D181" s="95" t="s">
        <v>405</v>
      </c>
      <c r="E181" s="11" t="s">
        <v>406</v>
      </c>
      <c r="F181" s="17"/>
      <c r="G181" s="18"/>
      <c r="H181" s="13">
        <v>2</v>
      </c>
      <c r="I181" s="14">
        <v>1.0250000000000024</v>
      </c>
      <c r="J181" s="100">
        <f t="shared" si="2"/>
        <v>209.28450000000049</v>
      </c>
    </row>
    <row r="182" spans="1:10" ht="18.75" customHeight="1" x14ac:dyDescent="0.25">
      <c r="A182" s="9" t="s">
        <v>9</v>
      </c>
      <c r="B182" s="10">
        <v>62125</v>
      </c>
      <c r="C182" s="10" t="s">
        <v>10</v>
      </c>
      <c r="D182" s="95" t="s">
        <v>407</v>
      </c>
      <c r="E182" s="11" t="s">
        <v>408</v>
      </c>
      <c r="F182" s="17" t="s">
        <v>327</v>
      </c>
      <c r="G182" s="18" t="s">
        <v>328</v>
      </c>
      <c r="H182" s="13">
        <v>2</v>
      </c>
      <c r="I182" s="14">
        <v>1.0000000000000013</v>
      </c>
      <c r="J182" s="100">
        <f t="shared" si="2"/>
        <v>204.18000000000029</v>
      </c>
    </row>
    <row r="183" spans="1:10" ht="18.75" customHeight="1" x14ac:dyDescent="0.25">
      <c r="A183" s="9" t="s">
        <v>9</v>
      </c>
      <c r="B183" s="10">
        <v>60129</v>
      </c>
      <c r="C183" s="10" t="s">
        <v>10</v>
      </c>
      <c r="D183" s="95" t="s">
        <v>447</v>
      </c>
      <c r="E183" s="11" t="s">
        <v>448</v>
      </c>
      <c r="F183" s="17">
        <v>575</v>
      </c>
      <c r="G183" s="18" t="s">
        <v>449</v>
      </c>
      <c r="H183" s="13">
        <v>2</v>
      </c>
      <c r="I183" s="14">
        <v>0.9249999999999986</v>
      </c>
      <c r="J183" s="100">
        <f t="shared" si="2"/>
        <v>188.86649999999972</v>
      </c>
    </row>
    <row r="184" spans="1:10" ht="18.75" customHeight="1" x14ac:dyDescent="0.25">
      <c r="A184" s="9" t="s">
        <v>9</v>
      </c>
      <c r="B184" s="10">
        <v>60240</v>
      </c>
      <c r="C184" s="10" t="s">
        <v>10</v>
      </c>
      <c r="D184" s="95" t="s">
        <v>413</v>
      </c>
      <c r="E184" s="11" t="s">
        <v>414</v>
      </c>
      <c r="F184" s="21"/>
      <c r="G184" s="22"/>
      <c r="H184" s="13">
        <v>2</v>
      </c>
      <c r="I184" s="14">
        <v>1</v>
      </c>
      <c r="J184" s="100">
        <f t="shared" si="2"/>
        <v>204.18</v>
      </c>
    </row>
    <row r="185" spans="1:10" ht="18.75" customHeight="1" x14ac:dyDescent="0.25">
      <c r="A185" s="9" t="s">
        <v>9</v>
      </c>
      <c r="B185" s="10">
        <v>62250</v>
      </c>
      <c r="C185" s="10" t="s">
        <v>10</v>
      </c>
      <c r="D185" s="95" t="s">
        <v>415</v>
      </c>
      <c r="E185" s="11" t="s">
        <v>416</v>
      </c>
      <c r="F185" s="17" t="s">
        <v>417</v>
      </c>
      <c r="G185" s="18" t="s">
        <v>418</v>
      </c>
      <c r="H185" s="13">
        <v>3</v>
      </c>
      <c r="I185" s="14">
        <v>1.19</v>
      </c>
      <c r="J185" s="100">
        <f t="shared" si="2"/>
        <v>242.9742</v>
      </c>
    </row>
    <row r="186" spans="1:10" ht="18.75" customHeight="1" x14ac:dyDescent="0.25">
      <c r="A186" s="9" t="s">
        <v>9</v>
      </c>
      <c r="B186" s="10">
        <v>62250</v>
      </c>
      <c r="C186" s="10" t="s">
        <v>30</v>
      </c>
      <c r="D186" s="95" t="s">
        <v>415</v>
      </c>
      <c r="E186" s="11" t="s">
        <v>419</v>
      </c>
      <c r="F186" s="17"/>
      <c r="G186" s="18"/>
      <c r="H186" s="13">
        <v>3</v>
      </c>
      <c r="I186" s="14">
        <v>1.19</v>
      </c>
      <c r="J186" s="100">
        <f t="shared" si="2"/>
        <v>242.9742</v>
      </c>
    </row>
    <row r="187" spans="1:10" ht="18.75" customHeight="1" x14ac:dyDescent="0.25">
      <c r="A187" s="9" t="s">
        <v>9</v>
      </c>
      <c r="B187" s="10">
        <v>66062</v>
      </c>
      <c r="C187" s="10" t="s">
        <v>10</v>
      </c>
      <c r="D187" s="95" t="s">
        <v>420</v>
      </c>
      <c r="E187" s="11" t="s">
        <v>421</v>
      </c>
      <c r="F187" s="17" t="s">
        <v>90</v>
      </c>
      <c r="G187" s="18" t="s">
        <v>91</v>
      </c>
      <c r="H187" s="13">
        <v>2</v>
      </c>
      <c r="I187" s="14">
        <v>1</v>
      </c>
      <c r="J187" s="100">
        <f t="shared" si="2"/>
        <v>204.18</v>
      </c>
    </row>
    <row r="188" spans="1:10" ht="18.75" customHeight="1" x14ac:dyDescent="0.25">
      <c r="A188" s="9" t="s">
        <v>9</v>
      </c>
      <c r="B188" s="10">
        <v>68067</v>
      </c>
      <c r="C188" s="10" t="s">
        <v>10</v>
      </c>
      <c r="D188" s="95" t="s">
        <v>422</v>
      </c>
      <c r="E188" s="11" t="s">
        <v>423</v>
      </c>
      <c r="F188" s="17" t="s">
        <v>361</v>
      </c>
      <c r="G188" s="20" t="s">
        <v>362</v>
      </c>
      <c r="H188" s="13">
        <v>2</v>
      </c>
      <c r="I188" s="14">
        <v>1</v>
      </c>
      <c r="J188" s="100">
        <f t="shared" si="2"/>
        <v>204.18</v>
      </c>
    </row>
    <row r="189" spans="1:10" ht="18.75" customHeight="1" x14ac:dyDescent="0.25">
      <c r="A189" s="9" t="s">
        <v>9</v>
      </c>
      <c r="B189" s="10">
        <v>62080</v>
      </c>
      <c r="C189" s="10" t="s">
        <v>10</v>
      </c>
      <c r="D189" s="95" t="s">
        <v>388</v>
      </c>
      <c r="E189" s="11" t="s">
        <v>389</v>
      </c>
      <c r="F189" s="17"/>
      <c r="G189" s="18"/>
      <c r="H189" s="13">
        <v>2</v>
      </c>
      <c r="I189" s="14">
        <v>1.1354545454545415</v>
      </c>
      <c r="J189" s="100">
        <f t="shared" si="2"/>
        <v>231.83710909090829</v>
      </c>
    </row>
    <row r="190" spans="1:10" ht="18.75" customHeight="1" x14ac:dyDescent="0.25">
      <c r="A190" s="9" t="s">
        <v>9</v>
      </c>
      <c r="B190" s="10">
        <v>60350</v>
      </c>
      <c r="C190" s="10" t="s">
        <v>10</v>
      </c>
      <c r="D190" s="95" t="s">
        <v>54</v>
      </c>
      <c r="E190" s="11" t="s">
        <v>55</v>
      </c>
      <c r="F190" s="21"/>
      <c r="G190" s="22"/>
      <c r="H190" s="13">
        <v>6</v>
      </c>
      <c r="I190" s="14">
        <v>13.727999999999982</v>
      </c>
      <c r="J190" s="100">
        <f t="shared" si="2"/>
        <v>2802.9830399999964</v>
      </c>
    </row>
    <row r="191" spans="1:10" ht="18.75" customHeight="1" x14ac:dyDescent="0.25">
      <c r="A191" s="9" t="s">
        <v>9</v>
      </c>
      <c r="B191" s="10">
        <v>62198</v>
      </c>
      <c r="C191" s="10" t="s">
        <v>30</v>
      </c>
      <c r="D191" s="95" t="s">
        <v>238</v>
      </c>
      <c r="E191" s="11" t="s">
        <v>276</v>
      </c>
      <c r="F191" s="17"/>
      <c r="G191" s="18"/>
      <c r="H191" s="13">
        <v>3</v>
      </c>
      <c r="I191" s="14">
        <v>1.2693333333333314</v>
      </c>
      <c r="J191" s="100">
        <f t="shared" si="2"/>
        <v>259.17247999999961</v>
      </c>
    </row>
    <row r="192" spans="1:10" ht="18.75" customHeight="1" x14ac:dyDescent="0.25">
      <c r="A192" s="9" t="s">
        <v>9</v>
      </c>
      <c r="B192" s="10">
        <v>64007</v>
      </c>
      <c r="C192" s="10" t="s">
        <v>10</v>
      </c>
      <c r="D192" s="95" t="s">
        <v>431</v>
      </c>
      <c r="E192" s="11" t="s">
        <v>432</v>
      </c>
      <c r="F192" s="17" t="s">
        <v>433</v>
      </c>
      <c r="G192" s="18" t="s">
        <v>434</v>
      </c>
      <c r="H192" s="13">
        <v>2</v>
      </c>
      <c r="I192" s="14">
        <v>0.99999999999999589</v>
      </c>
      <c r="J192" s="100">
        <f t="shared" si="2"/>
        <v>204.17999999999915</v>
      </c>
    </row>
    <row r="193" spans="1:10" ht="18.75" customHeight="1" x14ac:dyDescent="0.25">
      <c r="A193" s="9" t="s">
        <v>9</v>
      </c>
      <c r="B193" s="10">
        <v>60350</v>
      </c>
      <c r="C193" s="10" t="s">
        <v>30</v>
      </c>
      <c r="D193" s="95" t="s">
        <v>54</v>
      </c>
      <c r="E193" s="11" t="s">
        <v>95</v>
      </c>
      <c r="F193" s="21"/>
      <c r="G193" s="22"/>
      <c r="H193" s="13">
        <v>6</v>
      </c>
      <c r="I193" s="14">
        <v>8.0960000000000001</v>
      </c>
      <c r="J193" s="100">
        <f t="shared" si="2"/>
        <v>1653.0412800000001</v>
      </c>
    </row>
    <row r="194" spans="1:10" ht="18.75" customHeight="1" x14ac:dyDescent="0.25">
      <c r="A194" s="9" t="s">
        <v>9</v>
      </c>
      <c r="B194" s="10">
        <v>62209</v>
      </c>
      <c r="C194" s="10" t="s">
        <v>10</v>
      </c>
      <c r="D194" s="95" t="s">
        <v>66</v>
      </c>
      <c r="E194" s="11" t="s">
        <v>67</v>
      </c>
      <c r="F194" s="17"/>
      <c r="G194" s="19"/>
      <c r="H194" s="13">
        <v>6</v>
      </c>
      <c r="I194" s="14">
        <v>11.44</v>
      </c>
      <c r="J194" s="100">
        <f t="shared" si="2"/>
        <v>2335.8191999999999</v>
      </c>
    </row>
    <row r="195" spans="1:10" ht="18.75" customHeight="1" x14ac:dyDescent="0.25">
      <c r="A195" s="9" t="s">
        <v>9</v>
      </c>
      <c r="B195" s="10">
        <v>62209</v>
      </c>
      <c r="C195" s="10" t="s">
        <v>30</v>
      </c>
      <c r="D195" s="95" t="s">
        <v>66</v>
      </c>
      <c r="E195" s="11" t="s">
        <v>87</v>
      </c>
      <c r="F195" s="17"/>
      <c r="G195" s="19"/>
      <c r="H195" s="13">
        <v>6</v>
      </c>
      <c r="I195" s="14">
        <v>8.6345600000000005</v>
      </c>
      <c r="J195" s="100">
        <f t="shared" ref="J195:J258" si="3">I195*204.18</f>
        <v>1763.0044608000001</v>
      </c>
    </row>
    <row r="196" spans="1:10" ht="18.75" customHeight="1" x14ac:dyDescent="0.25">
      <c r="A196" s="9" t="s">
        <v>9</v>
      </c>
      <c r="B196" s="10">
        <v>64201</v>
      </c>
      <c r="C196" s="10" t="s">
        <v>10</v>
      </c>
      <c r="D196" s="95" t="s">
        <v>445</v>
      </c>
      <c r="E196" s="11" t="s">
        <v>446</v>
      </c>
      <c r="F196" s="17"/>
      <c r="G196" s="18"/>
      <c r="H196" s="13">
        <v>2</v>
      </c>
      <c r="I196" s="14">
        <v>0.93749999999999978</v>
      </c>
      <c r="J196" s="100">
        <f t="shared" si="3"/>
        <v>191.41874999999996</v>
      </c>
    </row>
    <row r="197" spans="1:10" ht="18.75" customHeight="1" x14ac:dyDescent="0.25">
      <c r="A197" s="9" t="s">
        <v>9</v>
      </c>
      <c r="B197" s="10">
        <v>60129</v>
      </c>
      <c r="C197" s="10" t="s">
        <v>30</v>
      </c>
      <c r="D197" s="95" t="s">
        <v>447</v>
      </c>
      <c r="E197" s="11" t="s">
        <v>583</v>
      </c>
      <c r="F197" s="17">
        <v>575</v>
      </c>
      <c r="G197" s="18" t="s">
        <v>449</v>
      </c>
      <c r="H197" s="13">
        <v>2</v>
      </c>
      <c r="I197" s="14">
        <v>0.55499999999999905</v>
      </c>
      <c r="J197" s="100">
        <f t="shared" si="3"/>
        <v>113.31989999999981</v>
      </c>
    </row>
    <row r="198" spans="1:10" ht="18.75" customHeight="1" x14ac:dyDescent="0.25">
      <c r="A198" s="9" t="s">
        <v>9</v>
      </c>
      <c r="B198" s="10">
        <v>62297</v>
      </c>
      <c r="C198" s="10" t="s">
        <v>30</v>
      </c>
      <c r="D198" s="95" t="s">
        <v>252</v>
      </c>
      <c r="E198" s="11" t="s">
        <v>196</v>
      </c>
      <c r="F198" s="17" t="s">
        <v>184</v>
      </c>
      <c r="G198" s="18" t="s">
        <v>185</v>
      </c>
      <c r="H198" s="13">
        <v>3</v>
      </c>
      <c r="I198" s="14">
        <v>1.6660000000000004</v>
      </c>
      <c r="J198" s="100">
        <f t="shared" si="3"/>
        <v>340.16388000000006</v>
      </c>
    </row>
    <row r="199" spans="1:10" ht="18.75" customHeight="1" x14ac:dyDescent="0.25">
      <c r="A199" s="9" t="s">
        <v>9</v>
      </c>
      <c r="B199" s="10">
        <v>62073</v>
      </c>
      <c r="C199" s="10" t="s">
        <v>10</v>
      </c>
      <c r="D199" s="95" t="s">
        <v>451</v>
      </c>
      <c r="E199" s="11" t="s">
        <v>452</v>
      </c>
      <c r="F199" s="17"/>
      <c r="G199" s="18"/>
      <c r="H199" s="13">
        <v>2</v>
      </c>
      <c r="I199" s="14">
        <v>0.9</v>
      </c>
      <c r="J199" s="100">
        <f t="shared" si="3"/>
        <v>183.762</v>
      </c>
    </row>
    <row r="200" spans="1:10" ht="18.75" customHeight="1" x14ac:dyDescent="0.25">
      <c r="A200" s="9" t="s">
        <v>9</v>
      </c>
      <c r="B200" s="10">
        <v>60077</v>
      </c>
      <c r="C200" s="10" t="s">
        <v>30</v>
      </c>
      <c r="D200" s="95" t="s">
        <v>453</v>
      </c>
      <c r="E200" s="11" t="s">
        <v>196</v>
      </c>
      <c r="F200" s="17"/>
      <c r="G200" s="18"/>
      <c r="H200" s="13">
        <v>3</v>
      </c>
      <c r="I200" s="14">
        <v>1.070999999999998</v>
      </c>
      <c r="J200" s="100">
        <f t="shared" si="3"/>
        <v>218.67677999999958</v>
      </c>
    </row>
    <row r="201" spans="1:10" ht="18.75" customHeight="1" x14ac:dyDescent="0.25">
      <c r="A201" s="9" t="s">
        <v>9</v>
      </c>
      <c r="B201" s="10">
        <v>62297</v>
      </c>
      <c r="C201" s="10" t="s">
        <v>10</v>
      </c>
      <c r="D201" s="95" t="s">
        <v>252</v>
      </c>
      <c r="E201" s="11" t="s">
        <v>229</v>
      </c>
      <c r="F201" s="16" t="s">
        <v>184</v>
      </c>
      <c r="G201" s="25" t="s">
        <v>185</v>
      </c>
      <c r="H201" s="13">
        <v>3</v>
      </c>
      <c r="I201" s="14">
        <v>2.1909999999999985</v>
      </c>
      <c r="J201" s="100">
        <f t="shared" si="3"/>
        <v>447.35837999999973</v>
      </c>
    </row>
    <row r="202" spans="1:10" ht="18.75" customHeight="1" x14ac:dyDescent="0.25">
      <c r="A202" s="9" t="s">
        <v>9</v>
      </c>
      <c r="B202" s="10">
        <v>62128</v>
      </c>
      <c r="C202" s="10" t="s">
        <v>10</v>
      </c>
      <c r="D202" s="95" t="s">
        <v>455</v>
      </c>
      <c r="E202" s="11" t="s">
        <v>456</v>
      </c>
      <c r="F202" s="31" t="s">
        <v>457</v>
      </c>
      <c r="G202" s="18">
        <v>0</v>
      </c>
      <c r="H202" s="13">
        <v>2</v>
      </c>
      <c r="I202" s="14">
        <v>0.87499999999999978</v>
      </c>
      <c r="J202" s="100">
        <f t="shared" si="3"/>
        <v>178.65749999999997</v>
      </c>
    </row>
    <row r="203" spans="1:10" ht="18.75" customHeight="1" x14ac:dyDescent="0.25">
      <c r="A203" s="9" t="s">
        <v>9</v>
      </c>
      <c r="B203" s="10">
        <v>62130</v>
      </c>
      <c r="C203" s="10" t="s">
        <v>10</v>
      </c>
      <c r="D203" s="95" t="s">
        <v>458</v>
      </c>
      <c r="E203" s="11" t="s">
        <v>456</v>
      </c>
      <c r="F203" s="17" t="s">
        <v>457</v>
      </c>
      <c r="G203" s="18">
        <v>0</v>
      </c>
      <c r="H203" s="13">
        <v>2</v>
      </c>
      <c r="I203" s="14">
        <v>0.87499999999999978</v>
      </c>
      <c r="J203" s="100">
        <f t="shared" si="3"/>
        <v>178.65749999999997</v>
      </c>
    </row>
    <row r="204" spans="1:10" ht="18.75" customHeight="1" x14ac:dyDescent="0.25">
      <c r="A204" s="9" t="s">
        <v>9</v>
      </c>
      <c r="B204" s="10">
        <v>64211</v>
      </c>
      <c r="C204" s="10" t="s">
        <v>10</v>
      </c>
      <c r="D204" s="95" t="s">
        <v>459</v>
      </c>
      <c r="E204" s="11" t="s">
        <v>460</v>
      </c>
      <c r="F204" s="17"/>
      <c r="G204" s="19"/>
      <c r="H204" s="13">
        <v>2</v>
      </c>
      <c r="I204" s="14">
        <v>0.86666666666666503</v>
      </c>
      <c r="J204" s="100">
        <f t="shared" si="3"/>
        <v>176.95599999999968</v>
      </c>
    </row>
    <row r="205" spans="1:10" ht="18.75" customHeight="1" x14ac:dyDescent="0.25">
      <c r="A205" s="9" t="s">
        <v>9</v>
      </c>
      <c r="B205" s="10">
        <v>64201</v>
      </c>
      <c r="C205" s="10" t="s">
        <v>30</v>
      </c>
      <c r="D205" s="95" t="s">
        <v>445</v>
      </c>
      <c r="E205" s="11" t="s">
        <v>461</v>
      </c>
      <c r="F205" s="17"/>
      <c r="G205" s="18"/>
      <c r="H205" s="13">
        <v>2</v>
      </c>
      <c r="I205" s="14">
        <v>0.85000000000000198</v>
      </c>
      <c r="J205" s="100">
        <f t="shared" si="3"/>
        <v>173.5530000000004</v>
      </c>
    </row>
    <row r="206" spans="1:10" ht="18.75" customHeight="1" x14ac:dyDescent="0.25">
      <c r="A206" s="9" t="s">
        <v>9</v>
      </c>
      <c r="B206" s="10">
        <v>64028</v>
      </c>
      <c r="C206" s="10" t="s">
        <v>10</v>
      </c>
      <c r="D206" s="95" t="s">
        <v>462</v>
      </c>
      <c r="E206" s="11" t="s">
        <v>463</v>
      </c>
      <c r="F206" s="17"/>
      <c r="G206" s="18"/>
      <c r="H206" s="13">
        <v>2</v>
      </c>
      <c r="I206" s="14">
        <v>0.85</v>
      </c>
      <c r="J206" s="100">
        <f t="shared" si="3"/>
        <v>173.553</v>
      </c>
    </row>
    <row r="207" spans="1:10" ht="18.75" customHeight="1" x14ac:dyDescent="0.25">
      <c r="A207" s="9" t="s">
        <v>9</v>
      </c>
      <c r="B207" s="10">
        <v>64082</v>
      </c>
      <c r="C207" s="10" t="s">
        <v>10</v>
      </c>
      <c r="D207" s="95" t="s">
        <v>18</v>
      </c>
      <c r="E207" s="11" t="s">
        <v>19</v>
      </c>
      <c r="F207" s="17" t="s">
        <v>20</v>
      </c>
      <c r="G207" s="18" t="s">
        <v>21</v>
      </c>
      <c r="H207" s="13">
        <v>6</v>
      </c>
      <c r="I207" s="14">
        <v>42.24</v>
      </c>
      <c r="J207" s="100">
        <f t="shared" si="3"/>
        <v>8624.5632000000005</v>
      </c>
    </row>
    <row r="208" spans="1:10" ht="18.75" customHeight="1" x14ac:dyDescent="0.25">
      <c r="A208" s="9" t="s">
        <v>9</v>
      </c>
      <c r="B208" s="10">
        <v>64082</v>
      </c>
      <c r="C208" s="10" t="s">
        <v>30</v>
      </c>
      <c r="D208" s="95" t="s">
        <v>18</v>
      </c>
      <c r="E208" s="11" t="s">
        <v>31</v>
      </c>
      <c r="F208" s="17"/>
      <c r="G208" s="19"/>
      <c r="H208" s="13">
        <v>6</v>
      </c>
      <c r="I208" s="14">
        <v>26.4</v>
      </c>
      <c r="J208" s="100">
        <f t="shared" si="3"/>
        <v>5390.3519999999999</v>
      </c>
    </row>
    <row r="209" spans="1:10" ht="18.75" customHeight="1" x14ac:dyDescent="0.25">
      <c r="A209" s="9" t="s">
        <v>9</v>
      </c>
      <c r="B209" s="10">
        <v>60132</v>
      </c>
      <c r="C209" s="10" t="s">
        <v>10</v>
      </c>
      <c r="D209" s="95" t="s">
        <v>468</v>
      </c>
      <c r="E209" s="11" t="s">
        <v>469</v>
      </c>
      <c r="F209" s="11" t="s">
        <v>255</v>
      </c>
      <c r="G209" s="12" t="s">
        <v>130</v>
      </c>
      <c r="H209" s="13">
        <v>2</v>
      </c>
      <c r="I209" s="14">
        <v>0.82399999999999951</v>
      </c>
      <c r="J209" s="100">
        <f t="shared" si="3"/>
        <v>168.2443199999999</v>
      </c>
    </row>
    <row r="210" spans="1:10" ht="18.75" customHeight="1" x14ac:dyDescent="0.25">
      <c r="A210" s="9" t="s">
        <v>9</v>
      </c>
      <c r="B210" s="10">
        <v>62229</v>
      </c>
      <c r="C210" s="10" t="s">
        <v>10</v>
      </c>
      <c r="D210" s="95" t="s">
        <v>234</v>
      </c>
      <c r="E210" s="11" t="s">
        <v>235</v>
      </c>
      <c r="F210" s="17"/>
      <c r="G210" s="28"/>
      <c r="H210" s="13">
        <v>2</v>
      </c>
      <c r="I210" s="14">
        <v>2.2000000000000002</v>
      </c>
      <c r="J210" s="100">
        <f t="shared" si="3"/>
        <v>449.19600000000003</v>
      </c>
    </row>
    <row r="211" spans="1:10" ht="18.75" customHeight="1" x14ac:dyDescent="0.25">
      <c r="A211" s="9" t="s">
        <v>9</v>
      </c>
      <c r="B211" s="10">
        <v>62229</v>
      </c>
      <c r="C211" s="10" t="s">
        <v>30</v>
      </c>
      <c r="D211" s="95" t="s">
        <v>234</v>
      </c>
      <c r="E211" s="11" t="s">
        <v>340</v>
      </c>
      <c r="F211" s="17"/>
      <c r="G211" s="18"/>
      <c r="H211" s="13">
        <v>2</v>
      </c>
      <c r="I211" s="14">
        <v>1.3199999999999998</v>
      </c>
      <c r="J211" s="100">
        <f t="shared" si="3"/>
        <v>269.51759999999996</v>
      </c>
    </row>
    <row r="212" spans="1:10" ht="18.75" customHeight="1" x14ac:dyDescent="0.25">
      <c r="A212" s="9" t="s">
        <v>9</v>
      </c>
      <c r="B212" s="10">
        <v>64041</v>
      </c>
      <c r="C212" s="10" t="s">
        <v>10</v>
      </c>
      <c r="D212" s="95" t="s">
        <v>475</v>
      </c>
      <c r="E212" s="11" t="s">
        <v>476</v>
      </c>
      <c r="F212" s="17"/>
      <c r="G212" s="28"/>
      <c r="H212" s="13">
        <v>2</v>
      </c>
      <c r="I212" s="14">
        <v>0.8</v>
      </c>
      <c r="J212" s="100">
        <f t="shared" si="3"/>
        <v>163.34400000000002</v>
      </c>
    </row>
    <row r="213" spans="1:10" ht="18.75" customHeight="1" x14ac:dyDescent="0.25">
      <c r="A213" s="9" t="s">
        <v>9</v>
      </c>
      <c r="B213" s="10">
        <v>64231</v>
      </c>
      <c r="C213" s="10" t="s">
        <v>30</v>
      </c>
      <c r="D213" s="95" t="s">
        <v>952</v>
      </c>
      <c r="E213" s="11" t="s">
        <v>953</v>
      </c>
      <c r="F213" s="39"/>
      <c r="G213" s="20"/>
      <c r="H213" s="13">
        <v>2</v>
      </c>
      <c r="I213" s="14">
        <v>0.09</v>
      </c>
      <c r="J213" s="100">
        <f t="shared" si="3"/>
        <v>18.376200000000001</v>
      </c>
    </row>
    <row r="214" spans="1:10" ht="18.75" customHeight="1" x14ac:dyDescent="0.25">
      <c r="A214" s="9" t="s">
        <v>9</v>
      </c>
      <c r="B214" s="10">
        <v>60002</v>
      </c>
      <c r="C214" s="10" t="s">
        <v>10</v>
      </c>
      <c r="D214" s="95" t="s">
        <v>481</v>
      </c>
      <c r="E214" s="11" t="s">
        <v>482</v>
      </c>
      <c r="F214" s="17"/>
      <c r="G214" s="28"/>
      <c r="H214" s="13">
        <v>2</v>
      </c>
      <c r="I214" s="14">
        <v>0.79999999999999982</v>
      </c>
      <c r="J214" s="100">
        <f t="shared" si="3"/>
        <v>163.34399999999997</v>
      </c>
    </row>
    <row r="215" spans="1:10" ht="18.75" customHeight="1" x14ac:dyDescent="0.25">
      <c r="A215" s="9" t="s">
        <v>9</v>
      </c>
      <c r="B215" s="10">
        <v>62225</v>
      </c>
      <c r="C215" s="10" t="s">
        <v>10</v>
      </c>
      <c r="D215" s="95" t="s">
        <v>218</v>
      </c>
      <c r="E215" s="11" t="s">
        <v>219</v>
      </c>
      <c r="F215" s="17" t="s">
        <v>220</v>
      </c>
      <c r="G215" s="33" t="s">
        <v>221</v>
      </c>
      <c r="H215" s="13">
        <v>2</v>
      </c>
      <c r="I215" s="14">
        <v>2.35</v>
      </c>
      <c r="J215" s="100">
        <f t="shared" si="3"/>
        <v>479.82300000000004</v>
      </c>
    </row>
    <row r="216" spans="1:10" ht="18.75" customHeight="1" x14ac:dyDescent="0.25">
      <c r="A216" s="9" t="s">
        <v>9</v>
      </c>
      <c r="B216" s="10">
        <v>64197</v>
      </c>
      <c r="C216" s="10" t="s">
        <v>10</v>
      </c>
      <c r="D216" s="95" t="s">
        <v>483</v>
      </c>
      <c r="E216" s="11" t="s">
        <v>484</v>
      </c>
      <c r="F216" s="17"/>
      <c r="G216" s="18"/>
      <c r="H216" s="13">
        <v>2</v>
      </c>
      <c r="I216" s="14">
        <v>0.79166666666666974</v>
      </c>
      <c r="J216" s="100">
        <f t="shared" si="3"/>
        <v>161.64250000000064</v>
      </c>
    </row>
    <row r="217" spans="1:10" ht="18.75" customHeight="1" x14ac:dyDescent="0.25">
      <c r="A217" s="9" t="s">
        <v>9</v>
      </c>
      <c r="B217" s="10">
        <v>62225</v>
      </c>
      <c r="C217" s="10" t="s">
        <v>30</v>
      </c>
      <c r="D217" s="95" t="s">
        <v>218</v>
      </c>
      <c r="E217" s="11" t="s">
        <v>333</v>
      </c>
      <c r="F217" s="17" t="s">
        <v>334</v>
      </c>
      <c r="G217" s="19" t="s">
        <v>335</v>
      </c>
      <c r="H217" s="13">
        <v>2</v>
      </c>
      <c r="I217" s="14">
        <v>1.3980000000000001</v>
      </c>
      <c r="J217" s="100">
        <f t="shared" si="3"/>
        <v>285.44364000000002</v>
      </c>
    </row>
    <row r="218" spans="1:10" ht="18.75" customHeight="1" x14ac:dyDescent="0.25">
      <c r="A218" s="9" t="s">
        <v>9</v>
      </c>
      <c r="B218" s="10">
        <v>62036</v>
      </c>
      <c r="C218" s="10" t="s">
        <v>10</v>
      </c>
      <c r="D218" s="95" t="s">
        <v>96</v>
      </c>
      <c r="E218" s="11" t="s">
        <v>97</v>
      </c>
      <c r="F218" s="17"/>
      <c r="G218" s="33"/>
      <c r="H218" s="13">
        <v>2</v>
      </c>
      <c r="I218" s="14">
        <v>4.5</v>
      </c>
      <c r="J218" s="100">
        <f t="shared" si="3"/>
        <v>918.81000000000006</v>
      </c>
    </row>
    <row r="219" spans="1:10" ht="18.75" customHeight="1" x14ac:dyDescent="0.25">
      <c r="A219" s="9" t="s">
        <v>9</v>
      </c>
      <c r="B219" s="10">
        <v>60137</v>
      </c>
      <c r="C219" s="10" t="s">
        <v>30</v>
      </c>
      <c r="D219" s="95" t="s">
        <v>228</v>
      </c>
      <c r="E219" s="11" t="s">
        <v>275</v>
      </c>
      <c r="F219" s="17" t="s">
        <v>184</v>
      </c>
      <c r="G219" s="18" t="s">
        <v>185</v>
      </c>
      <c r="H219" s="13">
        <v>3</v>
      </c>
      <c r="I219" s="14">
        <v>2.0133051118210856</v>
      </c>
      <c r="J219" s="100">
        <f t="shared" si="3"/>
        <v>411.07663773162926</v>
      </c>
    </row>
    <row r="220" spans="1:10" ht="18.75" customHeight="1" x14ac:dyDescent="0.25">
      <c r="A220" s="9" t="s">
        <v>9</v>
      </c>
      <c r="B220" s="10">
        <v>60108</v>
      </c>
      <c r="C220" s="10" t="s">
        <v>10</v>
      </c>
      <c r="D220" s="95" t="s">
        <v>491</v>
      </c>
      <c r="E220" s="11" t="s">
        <v>406</v>
      </c>
      <c r="F220" s="17"/>
      <c r="G220" s="28"/>
      <c r="H220" s="13">
        <v>2</v>
      </c>
      <c r="I220" s="14">
        <v>0.76000000000000068</v>
      </c>
      <c r="J220" s="100">
        <f t="shared" si="3"/>
        <v>155.17680000000016</v>
      </c>
    </row>
    <row r="221" spans="1:10" ht="18.75" customHeight="1" x14ac:dyDescent="0.25">
      <c r="A221" s="9" t="s">
        <v>9</v>
      </c>
      <c r="B221" s="10">
        <v>64043</v>
      </c>
      <c r="C221" s="10" t="s">
        <v>10</v>
      </c>
      <c r="D221" s="95" t="s">
        <v>492</v>
      </c>
      <c r="E221" s="11" t="s">
        <v>493</v>
      </c>
      <c r="F221" s="17" t="s">
        <v>494</v>
      </c>
      <c r="G221" s="18" t="s">
        <v>495</v>
      </c>
      <c r="H221" s="13">
        <v>2</v>
      </c>
      <c r="I221" s="14">
        <v>0.75000000000000167</v>
      </c>
      <c r="J221" s="100">
        <f t="shared" si="3"/>
        <v>153.13500000000033</v>
      </c>
    </row>
    <row r="222" spans="1:10" ht="18.75" customHeight="1" x14ac:dyDescent="0.25">
      <c r="A222" s="9" t="s">
        <v>9</v>
      </c>
      <c r="B222" s="10">
        <v>66023</v>
      </c>
      <c r="C222" s="10" t="s">
        <v>10</v>
      </c>
      <c r="D222" s="95" t="s">
        <v>496</v>
      </c>
      <c r="E222" s="11" t="s">
        <v>497</v>
      </c>
      <c r="F222" s="17"/>
      <c r="G222" s="28"/>
      <c r="H222" s="13">
        <v>2</v>
      </c>
      <c r="I222" s="14">
        <v>0.74545454545454437</v>
      </c>
      <c r="J222" s="100">
        <f t="shared" si="3"/>
        <v>152.20690909090888</v>
      </c>
    </row>
    <row r="223" spans="1:10" ht="18.75" customHeight="1" x14ac:dyDescent="0.25">
      <c r="A223" s="9" t="s">
        <v>9</v>
      </c>
      <c r="B223" s="10">
        <v>64209</v>
      </c>
      <c r="C223" s="10" t="s">
        <v>10</v>
      </c>
      <c r="D223" s="95" t="s">
        <v>498</v>
      </c>
      <c r="E223" s="11" t="s">
        <v>499</v>
      </c>
      <c r="F223" s="17"/>
      <c r="G223" s="18"/>
      <c r="H223" s="13">
        <v>2</v>
      </c>
      <c r="I223" s="14">
        <v>0.74000000000000077</v>
      </c>
      <c r="J223" s="100">
        <f t="shared" si="3"/>
        <v>151.09320000000017</v>
      </c>
    </row>
    <row r="224" spans="1:10" ht="18.75" customHeight="1" x14ac:dyDescent="0.25">
      <c r="A224" s="9" t="s">
        <v>9</v>
      </c>
      <c r="B224" s="10">
        <v>64211</v>
      </c>
      <c r="C224" s="10" t="s">
        <v>30</v>
      </c>
      <c r="D224" s="95" t="s">
        <v>459</v>
      </c>
      <c r="E224" s="11" t="s">
        <v>500</v>
      </c>
      <c r="F224" s="17"/>
      <c r="G224" s="33"/>
      <c r="H224" s="13">
        <v>2</v>
      </c>
      <c r="I224" s="14">
        <v>0.72500000000000497</v>
      </c>
      <c r="J224" s="100">
        <f t="shared" si="3"/>
        <v>148.03050000000101</v>
      </c>
    </row>
    <row r="225" spans="1:10" ht="18.75" customHeight="1" x14ac:dyDescent="0.25">
      <c r="A225" s="9" t="s">
        <v>9</v>
      </c>
      <c r="B225" s="10">
        <v>64097</v>
      </c>
      <c r="C225" s="10" t="s">
        <v>10</v>
      </c>
      <c r="D225" s="95" t="s">
        <v>742</v>
      </c>
      <c r="E225" s="11" t="s">
        <v>743</v>
      </c>
      <c r="F225" s="17" t="s">
        <v>744</v>
      </c>
      <c r="G225" s="18" t="s">
        <v>684</v>
      </c>
      <c r="H225" s="13">
        <v>2</v>
      </c>
      <c r="I225" s="14">
        <v>0.33684210526315905</v>
      </c>
      <c r="J225" s="100">
        <f t="shared" si="3"/>
        <v>68.776421052631818</v>
      </c>
    </row>
    <row r="226" spans="1:10" ht="18.75" customHeight="1" x14ac:dyDescent="0.25">
      <c r="A226" s="9" t="s">
        <v>9</v>
      </c>
      <c r="B226" s="10">
        <v>64103</v>
      </c>
      <c r="C226" s="10" t="s">
        <v>10</v>
      </c>
      <c r="D226" s="95" t="s">
        <v>505</v>
      </c>
      <c r="E226" s="11" t="s">
        <v>506</v>
      </c>
      <c r="F226" s="34" t="s">
        <v>255</v>
      </c>
      <c r="G226" s="35" t="s">
        <v>507</v>
      </c>
      <c r="H226" s="13">
        <v>3</v>
      </c>
      <c r="I226" s="14">
        <v>0.8513909090909092</v>
      </c>
      <c r="J226" s="100">
        <f t="shared" si="3"/>
        <v>173.83699581818183</v>
      </c>
    </row>
    <row r="227" spans="1:10" ht="18.75" customHeight="1" x14ac:dyDescent="0.25">
      <c r="A227" s="9" t="s">
        <v>9</v>
      </c>
      <c r="B227" s="10">
        <v>60131</v>
      </c>
      <c r="C227" s="10" t="s">
        <v>10</v>
      </c>
      <c r="D227" s="95" t="s">
        <v>508</v>
      </c>
      <c r="E227" s="11" t="s">
        <v>509</v>
      </c>
      <c r="F227" s="34" t="s">
        <v>255</v>
      </c>
      <c r="G227" s="35" t="s">
        <v>130</v>
      </c>
      <c r="H227" s="13">
        <v>2</v>
      </c>
      <c r="I227" s="14">
        <v>0.71249999999999958</v>
      </c>
      <c r="J227" s="100">
        <f t="shared" si="3"/>
        <v>145.47824999999992</v>
      </c>
    </row>
    <row r="228" spans="1:10" ht="18.75" customHeight="1" x14ac:dyDescent="0.25">
      <c r="A228" s="9" t="s">
        <v>9</v>
      </c>
      <c r="B228" s="10">
        <v>64093</v>
      </c>
      <c r="C228" s="10" t="s">
        <v>10</v>
      </c>
      <c r="D228" s="95" t="s">
        <v>510</v>
      </c>
      <c r="E228" s="11" t="s">
        <v>493</v>
      </c>
      <c r="F228" s="36" t="s">
        <v>494</v>
      </c>
      <c r="G228" s="27" t="s">
        <v>495</v>
      </c>
      <c r="H228" s="13">
        <v>2</v>
      </c>
      <c r="I228" s="14">
        <v>0.70000000000000495</v>
      </c>
      <c r="J228" s="100">
        <f t="shared" si="3"/>
        <v>142.92600000000101</v>
      </c>
    </row>
    <row r="229" spans="1:10" ht="18.75" customHeight="1" x14ac:dyDescent="0.25">
      <c r="A229" s="9" t="s">
        <v>9</v>
      </c>
      <c r="B229" s="10">
        <v>62036</v>
      </c>
      <c r="C229" s="10" t="s">
        <v>30</v>
      </c>
      <c r="D229" s="95" t="s">
        <v>96</v>
      </c>
      <c r="E229" s="11" t="s">
        <v>189</v>
      </c>
      <c r="F229" s="17"/>
      <c r="G229" s="33"/>
      <c r="H229" s="13">
        <v>2</v>
      </c>
      <c r="I229" s="14">
        <v>2.7</v>
      </c>
      <c r="J229" s="100">
        <f t="shared" si="3"/>
        <v>551.28600000000006</v>
      </c>
    </row>
    <row r="230" spans="1:10" ht="18.75" customHeight="1" x14ac:dyDescent="0.25">
      <c r="A230" s="9" t="s">
        <v>9</v>
      </c>
      <c r="B230" s="10">
        <v>62227</v>
      </c>
      <c r="C230" s="10" t="s">
        <v>10</v>
      </c>
      <c r="D230" s="95" t="s">
        <v>98</v>
      </c>
      <c r="E230" s="11" t="s">
        <v>97</v>
      </c>
      <c r="F230" s="17" t="s">
        <v>99</v>
      </c>
      <c r="G230" s="18" t="s">
        <v>100</v>
      </c>
      <c r="H230" s="13">
        <v>2</v>
      </c>
      <c r="I230" s="14">
        <v>4.5</v>
      </c>
      <c r="J230" s="100">
        <f t="shared" si="3"/>
        <v>918.81000000000006</v>
      </c>
    </row>
    <row r="231" spans="1:10" ht="18.75" customHeight="1" x14ac:dyDescent="0.25">
      <c r="A231" s="9" t="s">
        <v>9</v>
      </c>
      <c r="B231" s="10">
        <v>64079</v>
      </c>
      <c r="C231" s="10" t="s">
        <v>10</v>
      </c>
      <c r="D231" s="95" t="s">
        <v>515</v>
      </c>
      <c r="E231" s="11" t="s">
        <v>516</v>
      </c>
      <c r="F231" s="17" t="s">
        <v>517</v>
      </c>
      <c r="G231" s="18">
        <v>0</v>
      </c>
      <c r="H231" s="13">
        <v>2</v>
      </c>
      <c r="I231" s="14">
        <v>0.70000000000000306</v>
      </c>
      <c r="J231" s="100">
        <f t="shared" si="3"/>
        <v>142.92600000000064</v>
      </c>
    </row>
    <row r="232" spans="1:10" ht="18.75" customHeight="1" x14ac:dyDescent="0.25">
      <c r="A232" s="9" t="s">
        <v>9</v>
      </c>
      <c r="B232" s="10">
        <v>68000</v>
      </c>
      <c r="C232" s="10" t="s">
        <v>10</v>
      </c>
      <c r="D232" s="95" t="s">
        <v>518</v>
      </c>
      <c r="E232" s="11" t="s">
        <v>519</v>
      </c>
      <c r="F232" s="17" t="s">
        <v>520</v>
      </c>
      <c r="G232" s="18">
        <v>0</v>
      </c>
      <c r="H232" s="13">
        <v>2</v>
      </c>
      <c r="I232" s="14">
        <v>0.69999999999999751</v>
      </c>
      <c r="J232" s="100">
        <f t="shared" si="3"/>
        <v>142.9259999999995</v>
      </c>
    </row>
    <row r="233" spans="1:10" ht="18.75" customHeight="1" x14ac:dyDescent="0.25">
      <c r="A233" s="9" t="s">
        <v>9</v>
      </c>
      <c r="B233" s="10">
        <v>60139</v>
      </c>
      <c r="C233" s="10" t="s">
        <v>30</v>
      </c>
      <c r="D233" s="95" t="s">
        <v>567</v>
      </c>
      <c r="E233" s="11" t="s">
        <v>810</v>
      </c>
      <c r="F233" s="17" t="s">
        <v>811</v>
      </c>
      <c r="G233" s="37" t="s">
        <v>812</v>
      </c>
      <c r="H233" s="13">
        <v>2</v>
      </c>
      <c r="I233" s="14">
        <v>0.27647058823529458</v>
      </c>
      <c r="J233" s="100">
        <f t="shared" si="3"/>
        <v>56.449764705882451</v>
      </c>
    </row>
    <row r="234" spans="1:10" ht="18.75" customHeight="1" x14ac:dyDescent="0.25">
      <c r="A234" s="9" t="s">
        <v>9</v>
      </c>
      <c r="B234" s="10">
        <v>62227</v>
      </c>
      <c r="C234" s="10" t="s">
        <v>30</v>
      </c>
      <c r="D234" s="95" t="s">
        <v>98</v>
      </c>
      <c r="E234" s="11" t="s">
        <v>192</v>
      </c>
      <c r="F234" s="17"/>
      <c r="G234" s="38"/>
      <c r="H234" s="13">
        <v>2</v>
      </c>
      <c r="I234" s="14">
        <v>2.7</v>
      </c>
      <c r="J234" s="100">
        <f t="shared" si="3"/>
        <v>551.28600000000006</v>
      </c>
    </row>
    <row r="235" spans="1:10" ht="18.75" customHeight="1" x14ac:dyDescent="0.25">
      <c r="A235" s="9" t="s">
        <v>9</v>
      </c>
      <c r="B235" s="10">
        <v>60300</v>
      </c>
      <c r="C235" s="10" t="s">
        <v>10</v>
      </c>
      <c r="D235" s="95" t="s">
        <v>536</v>
      </c>
      <c r="E235" s="11" t="s">
        <v>537</v>
      </c>
      <c r="F235" s="17" t="s">
        <v>538</v>
      </c>
      <c r="G235" s="37" t="s">
        <v>539</v>
      </c>
      <c r="H235" s="13">
        <v>2</v>
      </c>
      <c r="I235" s="14">
        <v>0.6</v>
      </c>
      <c r="J235" s="100">
        <f t="shared" si="3"/>
        <v>122.508</v>
      </c>
    </row>
    <row r="236" spans="1:10" ht="18.75" customHeight="1" x14ac:dyDescent="0.25">
      <c r="A236" s="9" t="s">
        <v>9</v>
      </c>
      <c r="B236" s="10">
        <v>60109</v>
      </c>
      <c r="C236" s="10" t="s">
        <v>10</v>
      </c>
      <c r="D236" s="95" t="s">
        <v>528</v>
      </c>
      <c r="E236" s="11" t="s">
        <v>529</v>
      </c>
      <c r="F236" s="17" t="s">
        <v>530</v>
      </c>
      <c r="G236" s="38"/>
      <c r="H236" s="13">
        <v>2</v>
      </c>
      <c r="I236" s="14">
        <v>0.65000000000000602</v>
      </c>
      <c r="J236" s="100">
        <f t="shared" si="3"/>
        <v>132.71700000000124</v>
      </c>
    </row>
    <row r="237" spans="1:10" ht="18.75" customHeight="1" x14ac:dyDescent="0.25">
      <c r="A237" s="9" t="s">
        <v>9</v>
      </c>
      <c r="B237" s="10">
        <v>60128</v>
      </c>
      <c r="C237" s="10" t="s">
        <v>30</v>
      </c>
      <c r="D237" s="95" t="s">
        <v>341</v>
      </c>
      <c r="E237" s="11" t="s">
        <v>531</v>
      </c>
      <c r="F237" s="11" t="s">
        <v>343</v>
      </c>
      <c r="G237" s="12" t="s">
        <v>344</v>
      </c>
      <c r="H237" s="13">
        <v>2</v>
      </c>
      <c r="I237" s="14">
        <v>0.61999999999999678</v>
      </c>
      <c r="J237" s="100">
        <f t="shared" si="3"/>
        <v>126.59159999999935</v>
      </c>
    </row>
    <row r="238" spans="1:10" ht="18.75" customHeight="1" x14ac:dyDescent="0.25">
      <c r="A238" s="9" t="s">
        <v>9</v>
      </c>
      <c r="B238" s="10">
        <v>60142</v>
      </c>
      <c r="C238" s="10" t="s">
        <v>10</v>
      </c>
      <c r="D238" s="95" t="s">
        <v>532</v>
      </c>
      <c r="E238" s="11" t="s">
        <v>533</v>
      </c>
      <c r="F238" s="17" t="s">
        <v>466</v>
      </c>
      <c r="G238" s="18" t="s">
        <v>534</v>
      </c>
      <c r="H238" s="13">
        <v>2</v>
      </c>
      <c r="I238" s="14">
        <v>0.60000000000000075</v>
      </c>
      <c r="J238" s="100">
        <f t="shared" si="3"/>
        <v>122.50800000000015</v>
      </c>
    </row>
    <row r="239" spans="1:10" ht="18.75" customHeight="1" x14ac:dyDescent="0.25">
      <c r="A239" s="9" t="s">
        <v>9</v>
      </c>
      <c r="B239" s="10">
        <v>62272</v>
      </c>
      <c r="C239" s="10" t="s">
        <v>10</v>
      </c>
      <c r="D239" s="95" t="s">
        <v>409</v>
      </c>
      <c r="E239" s="11" t="s">
        <v>410</v>
      </c>
      <c r="F239" s="17" t="s">
        <v>411</v>
      </c>
      <c r="G239" s="18" t="s">
        <v>412</v>
      </c>
      <c r="H239" s="13">
        <v>2</v>
      </c>
      <c r="I239" s="14">
        <v>1.0000000000000013</v>
      </c>
      <c r="J239" s="100">
        <f t="shared" si="3"/>
        <v>204.18000000000029</v>
      </c>
    </row>
    <row r="240" spans="1:10" ht="18.75" customHeight="1" x14ac:dyDescent="0.25">
      <c r="A240" s="9" t="s">
        <v>9</v>
      </c>
      <c r="B240" s="10">
        <v>62013</v>
      </c>
      <c r="C240" s="10" t="s">
        <v>10</v>
      </c>
      <c r="D240" s="95" t="s">
        <v>709</v>
      </c>
      <c r="E240" s="11" t="s">
        <v>710</v>
      </c>
      <c r="F240" s="17" t="s">
        <v>711</v>
      </c>
      <c r="G240" s="18" t="s">
        <v>712</v>
      </c>
      <c r="H240" s="13">
        <v>2</v>
      </c>
      <c r="I240" s="14">
        <v>0.3666666666666637</v>
      </c>
      <c r="J240" s="100">
        <f t="shared" si="3"/>
        <v>74.865999999999403</v>
      </c>
    </row>
    <row r="241" spans="1:10" ht="18.75" customHeight="1" x14ac:dyDescent="0.25">
      <c r="A241" s="9" t="s">
        <v>9</v>
      </c>
      <c r="B241" s="10">
        <v>64084</v>
      </c>
      <c r="C241" s="10" t="s">
        <v>10</v>
      </c>
      <c r="D241" s="95" t="s">
        <v>700</v>
      </c>
      <c r="E241" s="11" t="s">
        <v>701</v>
      </c>
      <c r="F241" s="17"/>
      <c r="G241" s="18"/>
      <c r="H241" s="13">
        <v>2</v>
      </c>
      <c r="I241" s="14">
        <v>0.39</v>
      </c>
      <c r="J241" s="100">
        <f t="shared" si="3"/>
        <v>79.630200000000002</v>
      </c>
    </row>
    <row r="242" spans="1:10" ht="18.75" customHeight="1" x14ac:dyDescent="0.25">
      <c r="A242" s="9" t="s">
        <v>9</v>
      </c>
      <c r="B242" s="10">
        <v>62013</v>
      </c>
      <c r="C242" s="10" t="s">
        <v>30</v>
      </c>
      <c r="D242" s="95" t="s">
        <v>709</v>
      </c>
      <c r="E242" s="11" t="s">
        <v>896</v>
      </c>
      <c r="F242" s="17" t="s">
        <v>897</v>
      </c>
      <c r="G242" s="18" t="s">
        <v>898</v>
      </c>
      <c r="H242" s="13">
        <v>2</v>
      </c>
      <c r="I242" s="14">
        <v>0.16666666666666782</v>
      </c>
      <c r="J242" s="100">
        <f t="shared" si="3"/>
        <v>34.030000000000236</v>
      </c>
    </row>
    <row r="243" spans="1:10" ht="18.75" customHeight="1" x14ac:dyDescent="0.25">
      <c r="A243" s="9" t="s">
        <v>9</v>
      </c>
      <c r="B243" s="10">
        <v>62037</v>
      </c>
      <c r="C243" s="10" t="s">
        <v>10</v>
      </c>
      <c r="D243" s="95" t="s">
        <v>906</v>
      </c>
      <c r="E243" s="11" t="s">
        <v>907</v>
      </c>
      <c r="F243" s="17" t="s">
        <v>908</v>
      </c>
      <c r="G243" s="18" t="s">
        <v>909</v>
      </c>
      <c r="H243" s="13">
        <v>2</v>
      </c>
      <c r="I243" s="14">
        <v>0.15</v>
      </c>
      <c r="J243" s="100">
        <f t="shared" si="3"/>
        <v>30.626999999999999</v>
      </c>
    </row>
    <row r="244" spans="1:10" ht="18.75" customHeight="1" x14ac:dyDescent="0.25">
      <c r="A244" s="9" t="s">
        <v>9</v>
      </c>
      <c r="B244" s="10">
        <v>62037</v>
      </c>
      <c r="C244" s="10" t="s">
        <v>30</v>
      </c>
      <c r="D244" s="95" t="s">
        <v>906</v>
      </c>
      <c r="E244" s="11" t="s">
        <v>948</v>
      </c>
      <c r="F244" s="17"/>
      <c r="G244" s="18"/>
      <c r="H244" s="13">
        <v>2</v>
      </c>
      <c r="I244" s="14">
        <v>0.09</v>
      </c>
      <c r="J244" s="100">
        <f t="shared" si="3"/>
        <v>18.376200000000001</v>
      </c>
    </row>
    <row r="245" spans="1:10" ht="18.75" customHeight="1" x14ac:dyDescent="0.25">
      <c r="A245" s="9" t="s">
        <v>9</v>
      </c>
      <c r="B245" s="10">
        <v>64041</v>
      </c>
      <c r="C245" s="10" t="s">
        <v>30</v>
      </c>
      <c r="D245" s="95" t="s">
        <v>475</v>
      </c>
      <c r="E245" s="11" t="s">
        <v>550</v>
      </c>
      <c r="F245" s="17"/>
      <c r="G245" s="18"/>
      <c r="H245" s="13">
        <v>2</v>
      </c>
      <c r="I245" s="14">
        <v>0.6</v>
      </c>
      <c r="J245" s="100">
        <f t="shared" si="3"/>
        <v>122.508</v>
      </c>
    </row>
    <row r="246" spans="1:10" ht="18.75" customHeight="1" x14ac:dyDescent="0.25">
      <c r="A246" s="9" t="s">
        <v>9</v>
      </c>
      <c r="B246" s="10">
        <v>62033</v>
      </c>
      <c r="C246" s="10" t="s">
        <v>10</v>
      </c>
      <c r="D246" s="95" t="s">
        <v>813</v>
      </c>
      <c r="E246" s="11" t="s">
        <v>814</v>
      </c>
      <c r="F246" s="17" t="s">
        <v>815</v>
      </c>
      <c r="G246" s="18"/>
      <c r="H246" s="13">
        <v>2</v>
      </c>
      <c r="I246" s="14">
        <v>0.27619047619047454</v>
      </c>
      <c r="J246" s="100">
        <f t="shared" si="3"/>
        <v>56.392571428571095</v>
      </c>
    </row>
    <row r="247" spans="1:10" ht="18.75" customHeight="1" x14ac:dyDescent="0.25">
      <c r="A247" s="9" t="s">
        <v>9</v>
      </c>
      <c r="B247" s="10">
        <v>64223</v>
      </c>
      <c r="C247" s="10" t="s">
        <v>10</v>
      </c>
      <c r="D247" s="95" t="s">
        <v>920</v>
      </c>
      <c r="E247" s="11" t="s">
        <v>921</v>
      </c>
      <c r="F247" s="17"/>
      <c r="G247" s="20"/>
      <c r="H247" s="13">
        <v>2</v>
      </c>
      <c r="I247" s="14">
        <v>0.15</v>
      </c>
      <c r="J247" s="100">
        <f t="shared" si="3"/>
        <v>30.626999999999999</v>
      </c>
    </row>
    <row r="248" spans="1:10" ht="18.75" customHeight="1" x14ac:dyDescent="0.25">
      <c r="A248" s="9" t="s">
        <v>9</v>
      </c>
      <c r="B248" s="10">
        <v>64223</v>
      </c>
      <c r="C248" s="10" t="s">
        <v>30</v>
      </c>
      <c r="D248" s="95" t="s">
        <v>920</v>
      </c>
      <c r="E248" s="11" t="s">
        <v>951</v>
      </c>
      <c r="F248" s="39"/>
      <c r="G248" s="20"/>
      <c r="H248" s="13">
        <v>2</v>
      </c>
      <c r="I248" s="14">
        <v>0.09</v>
      </c>
      <c r="J248" s="100">
        <f t="shared" si="3"/>
        <v>18.376200000000001</v>
      </c>
    </row>
    <row r="249" spans="1:10" ht="18.75" customHeight="1" x14ac:dyDescent="0.25">
      <c r="A249" s="9" t="s">
        <v>9</v>
      </c>
      <c r="B249" s="10">
        <v>64232</v>
      </c>
      <c r="C249" s="10" t="s">
        <v>30</v>
      </c>
      <c r="D249" s="95" t="s">
        <v>882</v>
      </c>
      <c r="E249" s="11" t="s">
        <v>883</v>
      </c>
      <c r="F249" s="39"/>
      <c r="G249" s="20"/>
      <c r="H249" s="13">
        <v>2</v>
      </c>
      <c r="I249" s="14">
        <v>0.18</v>
      </c>
      <c r="J249" s="100">
        <f t="shared" si="3"/>
        <v>36.752400000000002</v>
      </c>
    </row>
    <row r="250" spans="1:10" ht="18.75" customHeight="1" x14ac:dyDescent="0.25">
      <c r="A250" s="9" t="s">
        <v>9</v>
      </c>
      <c r="B250" s="10">
        <v>66047</v>
      </c>
      <c r="C250" s="10" t="s">
        <v>10</v>
      </c>
      <c r="D250" s="95" t="s">
        <v>560</v>
      </c>
      <c r="E250" s="11" t="s">
        <v>561</v>
      </c>
      <c r="F250" s="11" t="s">
        <v>562</v>
      </c>
      <c r="G250" s="12" t="s">
        <v>563</v>
      </c>
      <c r="H250" s="13">
        <v>2</v>
      </c>
      <c r="I250" s="14">
        <v>0.59999999999999798</v>
      </c>
      <c r="J250" s="100">
        <f t="shared" si="3"/>
        <v>122.5079999999996</v>
      </c>
    </row>
    <row r="251" spans="1:10" ht="18.75" customHeight="1" x14ac:dyDescent="0.25">
      <c r="A251" s="9" t="s">
        <v>9</v>
      </c>
      <c r="B251" s="10">
        <v>68121</v>
      </c>
      <c r="C251" s="10" t="s">
        <v>10</v>
      </c>
      <c r="D251" s="95" t="s">
        <v>239</v>
      </c>
      <c r="E251" s="11" t="s">
        <v>102</v>
      </c>
      <c r="F251" s="16"/>
      <c r="G251" s="25"/>
      <c r="H251" s="13">
        <v>3</v>
      </c>
      <c r="I251" s="14">
        <v>2.4841249999999939</v>
      </c>
      <c r="J251" s="100">
        <f t="shared" si="3"/>
        <v>507.2086424999988</v>
      </c>
    </row>
    <row r="252" spans="1:10" ht="18.75" customHeight="1" x14ac:dyDescent="0.25">
      <c r="A252" s="9" t="s">
        <v>9</v>
      </c>
      <c r="B252" s="10">
        <v>62033</v>
      </c>
      <c r="C252" s="10" t="s">
        <v>30</v>
      </c>
      <c r="D252" s="95" t="s">
        <v>813</v>
      </c>
      <c r="E252" s="11" t="s">
        <v>844</v>
      </c>
      <c r="F252" s="17" t="s">
        <v>815</v>
      </c>
      <c r="G252" s="18" t="s">
        <v>845</v>
      </c>
      <c r="H252" s="13">
        <v>2</v>
      </c>
      <c r="I252" s="14">
        <v>0.23684210526316024</v>
      </c>
      <c r="J252" s="100">
        <f t="shared" si="3"/>
        <v>48.35842105263206</v>
      </c>
    </row>
    <row r="253" spans="1:10" ht="18.75" customHeight="1" x14ac:dyDescent="0.25">
      <c r="A253" s="9" t="s">
        <v>9</v>
      </c>
      <c r="B253" s="10">
        <v>62231</v>
      </c>
      <c r="C253" s="10" t="s">
        <v>10</v>
      </c>
      <c r="D253" s="95" t="s">
        <v>916</v>
      </c>
      <c r="E253" s="11" t="s">
        <v>917</v>
      </c>
      <c r="F253" s="17"/>
      <c r="G253" s="18"/>
      <c r="H253" s="13">
        <v>2</v>
      </c>
      <c r="I253" s="14">
        <v>0.15</v>
      </c>
      <c r="J253" s="100">
        <f t="shared" si="3"/>
        <v>30.626999999999999</v>
      </c>
    </row>
    <row r="254" spans="1:10" ht="18.75" customHeight="1" x14ac:dyDescent="0.25">
      <c r="A254" s="9" t="s">
        <v>9</v>
      </c>
      <c r="B254" s="10">
        <v>62231</v>
      </c>
      <c r="C254" s="10" t="s">
        <v>30</v>
      </c>
      <c r="D254" s="95" t="s">
        <v>916</v>
      </c>
      <c r="E254" s="11" t="s">
        <v>950</v>
      </c>
      <c r="F254" s="17"/>
      <c r="G254" s="18"/>
      <c r="H254" s="13">
        <v>2</v>
      </c>
      <c r="I254" s="14">
        <v>0.09</v>
      </c>
      <c r="J254" s="100">
        <f t="shared" si="3"/>
        <v>18.376200000000001</v>
      </c>
    </row>
    <row r="255" spans="1:10" ht="18.75" customHeight="1" x14ac:dyDescent="0.25">
      <c r="A255" s="9" t="s">
        <v>9</v>
      </c>
      <c r="B255" s="10">
        <v>62192</v>
      </c>
      <c r="C255" s="10" t="s">
        <v>10</v>
      </c>
      <c r="D255" s="95" t="s">
        <v>762</v>
      </c>
      <c r="E255" s="11" t="s">
        <v>763</v>
      </c>
      <c r="F255" s="17" t="s">
        <v>764</v>
      </c>
      <c r="G255" s="18" t="s">
        <v>765</v>
      </c>
      <c r="H255" s="13">
        <v>2</v>
      </c>
      <c r="I255" s="14">
        <v>0.30000000000000399</v>
      </c>
      <c r="J255" s="100">
        <f t="shared" si="3"/>
        <v>61.254000000000815</v>
      </c>
    </row>
    <row r="256" spans="1:10" ht="18.75" customHeight="1" x14ac:dyDescent="0.25">
      <c r="A256" s="9" t="s">
        <v>9</v>
      </c>
      <c r="B256" s="10">
        <v>60109</v>
      </c>
      <c r="C256" s="10" t="s">
        <v>30</v>
      </c>
      <c r="D256" s="95" t="s">
        <v>528</v>
      </c>
      <c r="E256" s="11" t="s">
        <v>695</v>
      </c>
      <c r="F256" s="17"/>
      <c r="G256" s="18"/>
      <c r="H256" s="13">
        <v>2</v>
      </c>
      <c r="I256" s="14">
        <v>0.39999999999999353</v>
      </c>
      <c r="J256" s="100">
        <f t="shared" si="3"/>
        <v>81.671999999998675</v>
      </c>
    </row>
    <row r="257" spans="1:10" ht="18.75" customHeight="1" x14ac:dyDescent="0.25">
      <c r="A257" s="9" t="s">
        <v>9</v>
      </c>
      <c r="B257" s="10">
        <v>60137</v>
      </c>
      <c r="C257" s="10" t="s">
        <v>10</v>
      </c>
      <c r="D257" s="95" t="s">
        <v>228</v>
      </c>
      <c r="E257" s="11" t="s">
        <v>229</v>
      </c>
      <c r="F257" s="17" t="s">
        <v>184</v>
      </c>
      <c r="G257" s="18" t="s">
        <v>185</v>
      </c>
      <c r="H257" s="13">
        <v>3</v>
      </c>
      <c r="I257" s="14">
        <v>2.6477499999999967</v>
      </c>
      <c r="J257" s="100">
        <f t="shared" si="3"/>
        <v>540.61759499999937</v>
      </c>
    </row>
    <row r="258" spans="1:10" ht="18.75" customHeight="1" x14ac:dyDescent="0.25">
      <c r="A258" s="9" t="s">
        <v>9</v>
      </c>
      <c r="B258" s="10">
        <v>68121</v>
      </c>
      <c r="C258" s="10" t="s">
        <v>30</v>
      </c>
      <c r="D258" s="95" t="s">
        <v>239</v>
      </c>
      <c r="E258" s="11" t="s">
        <v>276</v>
      </c>
      <c r="F258" s="17"/>
      <c r="G258" s="18"/>
      <c r="H258" s="13">
        <v>3</v>
      </c>
      <c r="I258" s="14">
        <v>1.2693333333333314</v>
      </c>
      <c r="J258" s="100">
        <f t="shared" si="3"/>
        <v>259.17247999999961</v>
      </c>
    </row>
    <row r="259" spans="1:10" ht="18.75" customHeight="1" x14ac:dyDescent="0.25">
      <c r="A259" s="9" t="s">
        <v>9</v>
      </c>
      <c r="B259" s="10">
        <v>64107</v>
      </c>
      <c r="C259" s="10" t="s">
        <v>10</v>
      </c>
      <c r="D259" s="95" t="s">
        <v>581</v>
      </c>
      <c r="E259" s="11" t="s">
        <v>582</v>
      </c>
      <c r="F259" s="17"/>
      <c r="G259" s="18"/>
      <c r="H259" s="13">
        <v>2</v>
      </c>
      <c r="I259" s="14">
        <v>0.56562500000000004</v>
      </c>
      <c r="J259" s="100">
        <f t="shared" ref="J259:J322" si="4">I259*204.18</f>
        <v>115.48931250000001</v>
      </c>
    </row>
    <row r="260" spans="1:10" ht="18.75" customHeight="1" x14ac:dyDescent="0.25">
      <c r="A260" s="9" t="s">
        <v>9</v>
      </c>
      <c r="B260" s="10">
        <v>62272</v>
      </c>
      <c r="C260" s="10" t="s">
        <v>30</v>
      </c>
      <c r="D260" s="95" t="s">
        <v>409</v>
      </c>
      <c r="E260" s="11" t="s">
        <v>535</v>
      </c>
      <c r="F260" s="17" t="s">
        <v>411</v>
      </c>
      <c r="G260" s="18" t="s">
        <v>412</v>
      </c>
      <c r="H260" s="13">
        <v>2</v>
      </c>
      <c r="I260" s="14">
        <v>0.60000000000000075</v>
      </c>
      <c r="J260" s="100">
        <f t="shared" si="4"/>
        <v>122.50800000000015</v>
      </c>
    </row>
    <row r="261" spans="1:10" ht="18.75" customHeight="1" x14ac:dyDescent="0.25">
      <c r="A261" s="9" t="s">
        <v>9</v>
      </c>
      <c r="B261" s="10">
        <v>64084</v>
      </c>
      <c r="C261" s="10" t="s">
        <v>30</v>
      </c>
      <c r="D261" s="95" t="s">
        <v>700</v>
      </c>
      <c r="E261" s="11" t="s">
        <v>846</v>
      </c>
      <c r="F261" s="17"/>
      <c r="G261" s="18"/>
      <c r="H261" s="13">
        <v>2</v>
      </c>
      <c r="I261" s="14">
        <v>0.23400000000000004</v>
      </c>
      <c r="J261" s="100">
        <f t="shared" si="4"/>
        <v>47.778120000000008</v>
      </c>
    </row>
    <row r="262" spans="1:10" ht="18.75" customHeight="1" x14ac:dyDescent="0.25">
      <c r="A262" s="9" t="s">
        <v>9</v>
      </c>
      <c r="B262" s="10">
        <v>64069</v>
      </c>
      <c r="C262" s="10" t="s">
        <v>30</v>
      </c>
      <c r="D262" s="95" t="s">
        <v>400</v>
      </c>
      <c r="E262" s="11" t="s">
        <v>586</v>
      </c>
      <c r="F262" s="17"/>
      <c r="G262" s="18"/>
      <c r="H262" s="13">
        <v>2</v>
      </c>
      <c r="I262" s="14">
        <v>0.55000000000000004</v>
      </c>
      <c r="J262" s="100">
        <f t="shared" si="4"/>
        <v>112.29900000000001</v>
      </c>
    </row>
    <row r="263" spans="1:10" ht="18.75" customHeight="1" x14ac:dyDescent="0.25">
      <c r="A263" s="9" t="s">
        <v>9</v>
      </c>
      <c r="B263" s="10">
        <v>62073</v>
      </c>
      <c r="C263" s="10" t="s">
        <v>30</v>
      </c>
      <c r="D263" s="95" t="s">
        <v>451</v>
      </c>
      <c r="E263" s="11" t="s">
        <v>587</v>
      </c>
      <c r="F263" s="17"/>
      <c r="G263" s="18"/>
      <c r="H263" s="13">
        <v>2</v>
      </c>
      <c r="I263" s="14">
        <v>0.55000000000000004</v>
      </c>
      <c r="J263" s="100">
        <f t="shared" si="4"/>
        <v>112.29900000000001</v>
      </c>
    </row>
    <row r="264" spans="1:10" ht="18.75" customHeight="1" x14ac:dyDescent="0.25">
      <c r="A264" s="9" t="s">
        <v>9</v>
      </c>
      <c r="B264" s="10">
        <v>61710</v>
      </c>
      <c r="C264" s="10" t="s">
        <v>10</v>
      </c>
      <c r="D264" s="95" t="s">
        <v>588</v>
      </c>
      <c r="E264" s="11" t="s">
        <v>589</v>
      </c>
      <c r="F264" s="11" t="s">
        <v>159</v>
      </c>
      <c r="G264" s="12" t="s">
        <v>160</v>
      </c>
      <c r="H264" s="13">
        <v>3</v>
      </c>
      <c r="I264" s="14">
        <v>0.64823966666666932</v>
      </c>
      <c r="J264" s="100">
        <f t="shared" si="4"/>
        <v>132.35757514000053</v>
      </c>
    </row>
    <row r="265" spans="1:10" ht="18.75" customHeight="1" x14ac:dyDescent="0.25">
      <c r="A265" s="9" t="s">
        <v>9</v>
      </c>
      <c r="B265" s="10">
        <v>62192</v>
      </c>
      <c r="C265" s="10" t="s">
        <v>30</v>
      </c>
      <c r="D265" s="95" t="s">
        <v>762</v>
      </c>
      <c r="E265" s="11" t="s">
        <v>872</v>
      </c>
      <c r="F265" s="17" t="s">
        <v>873</v>
      </c>
      <c r="G265" s="18" t="s">
        <v>874</v>
      </c>
      <c r="H265" s="13">
        <v>2</v>
      </c>
      <c r="I265" s="14">
        <v>0.18000000000000238</v>
      </c>
      <c r="J265" s="100">
        <f t="shared" si="4"/>
        <v>36.752400000000485</v>
      </c>
    </row>
    <row r="266" spans="1:10" ht="18.75" customHeight="1" x14ac:dyDescent="0.25">
      <c r="A266" s="9" t="s">
        <v>9</v>
      </c>
      <c r="B266" s="10">
        <v>62128</v>
      </c>
      <c r="C266" s="10" t="s">
        <v>30</v>
      </c>
      <c r="D266" s="95" t="s">
        <v>455</v>
      </c>
      <c r="E266" s="11" t="s">
        <v>592</v>
      </c>
      <c r="F266" s="17" t="s">
        <v>593</v>
      </c>
      <c r="G266" s="18" t="s">
        <v>594</v>
      </c>
      <c r="H266" s="13">
        <v>2</v>
      </c>
      <c r="I266" s="14">
        <v>0.52499999999999991</v>
      </c>
      <c r="J266" s="100">
        <f t="shared" si="4"/>
        <v>107.19449999999999</v>
      </c>
    </row>
    <row r="267" spans="1:10" ht="18.75" customHeight="1" x14ac:dyDescent="0.25">
      <c r="A267" s="9" t="s">
        <v>9</v>
      </c>
      <c r="B267" s="10">
        <v>62130</v>
      </c>
      <c r="C267" s="10" t="s">
        <v>30</v>
      </c>
      <c r="D267" s="95" t="s">
        <v>458</v>
      </c>
      <c r="E267" s="11" t="s">
        <v>592</v>
      </c>
      <c r="F267" s="17" t="s">
        <v>593</v>
      </c>
      <c r="G267" s="18" t="s">
        <v>594</v>
      </c>
      <c r="H267" s="13">
        <v>2</v>
      </c>
      <c r="I267" s="14">
        <v>0.52499999999999991</v>
      </c>
      <c r="J267" s="100">
        <f t="shared" si="4"/>
        <v>107.19449999999999</v>
      </c>
    </row>
    <row r="268" spans="1:10" ht="18.75" customHeight="1" x14ac:dyDescent="0.25">
      <c r="A268" s="9" t="s">
        <v>9</v>
      </c>
      <c r="B268" s="10">
        <v>62236</v>
      </c>
      <c r="C268" s="10" t="s">
        <v>10</v>
      </c>
      <c r="D268" s="95" t="s">
        <v>687</v>
      </c>
      <c r="E268" s="11" t="s">
        <v>688</v>
      </c>
      <c r="F268" s="17"/>
      <c r="G268" s="18"/>
      <c r="H268" s="13">
        <v>2</v>
      </c>
      <c r="I268" s="14">
        <v>0.4</v>
      </c>
      <c r="J268" s="100">
        <f t="shared" si="4"/>
        <v>81.672000000000011</v>
      </c>
    </row>
    <row r="269" spans="1:10" ht="18.75" customHeight="1" x14ac:dyDescent="0.25">
      <c r="A269" s="9" t="s">
        <v>9</v>
      </c>
      <c r="B269" s="10">
        <v>64097</v>
      </c>
      <c r="C269" s="10" t="s">
        <v>30</v>
      </c>
      <c r="D269" s="95" t="s">
        <v>742</v>
      </c>
      <c r="E269" s="11" t="s">
        <v>760</v>
      </c>
      <c r="F269" s="17" t="s">
        <v>744</v>
      </c>
      <c r="G269" s="18" t="s">
        <v>684</v>
      </c>
      <c r="H269" s="13">
        <v>2</v>
      </c>
      <c r="I269" s="14">
        <v>0.30000000000000404</v>
      </c>
      <c r="J269" s="100">
        <f t="shared" si="4"/>
        <v>61.254000000000829</v>
      </c>
    </row>
    <row r="270" spans="1:10" ht="18.75" customHeight="1" x14ac:dyDescent="0.25">
      <c r="A270" s="9" t="s">
        <v>9</v>
      </c>
      <c r="B270" s="10">
        <v>60052</v>
      </c>
      <c r="C270" s="10" t="s">
        <v>10</v>
      </c>
      <c r="D270" s="95" t="s">
        <v>819</v>
      </c>
      <c r="E270" s="11" t="s">
        <v>820</v>
      </c>
      <c r="F270" s="17"/>
      <c r="G270" s="18"/>
      <c r="H270" s="13">
        <v>2</v>
      </c>
      <c r="I270" s="14">
        <v>0.26250000000000095</v>
      </c>
      <c r="J270" s="100">
        <f t="shared" si="4"/>
        <v>53.597250000000194</v>
      </c>
    </row>
    <row r="271" spans="1:10" ht="18.75" customHeight="1" x14ac:dyDescent="0.25">
      <c r="A271" s="9" t="s">
        <v>9</v>
      </c>
      <c r="B271" s="10">
        <v>62236</v>
      </c>
      <c r="C271" s="10" t="s">
        <v>30</v>
      </c>
      <c r="D271" s="95" t="s">
        <v>687</v>
      </c>
      <c r="E271" s="11" t="s">
        <v>782</v>
      </c>
      <c r="F271" s="17"/>
      <c r="G271" s="18"/>
      <c r="H271" s="13">
        <v>2</v>
      </c>
      <c r="I271" s="14">
        <v>0.3</v>
      </c>
      <c r="J271" s="100">
        <f t="shared" si="4"/>
        <v>61.253999999999998</v>
      </c>
    </row>
    <row r="272" spans="1:10" ht="18.75" customHeight="1" x14ac:dyDescent="0.25">
      <c r="A272" s="9" t="s">
        <v>9</v>
      </c>
      <c r="B272" s="10">
        <v>60023</v>
      </c>
      <c r="C272" s="10" t="s">
        <v>10</v>
      </c>
      <c r="D272" s="95" t="s">
        <v>604</v>
      </c>
      <c r="E272" s="11" t="s">
        <v>476</v>
      </c>
      <c r="F272" s="17"/>
      <c r="G272" s="18"/>
      <c r="H272" s="13">
        <v>2</v>
      </c>
      <c r="I272" s="14">
        <v>0.5</v>
      </c>
      <c r="J272" s="100">
        <f t="shared" si="4"/>
        <v>102.09</v>
      </c>
    </row>
    <row r="273" spans="1:10" ht="18.75" customHeight="1" x14ac:dyDescent="0.25">
      <c r="A273" s="9" t="s">
        <v>9</v>
      </c>
      <c r="B273" s="10">
        <v>62320</v>
      </c>
      <c r="C273" s="10" t="s">
        <v>10</v>
      </c>
      <c r="D273" s="95" t="s">
        <v>605</v>
      </c>
      <c r="E273" s="11" t="s">
        <v>606</v>
      </c>
      <c r="F273" s="17"/>
      <c r="G273" s="18"/>
      <c r="H273" s="13">
        <v>2</v>
      </c>
      <c r="I273" s="14">
        <v>0.5</v>
      </c>
      <c r="J273" s="100">
        <f t="shared" si="4"/>
        <v>102.09</v>
      </c>
    </row>
    <row r="274" spans="1:10" ht="18.75" customHeight="1" x14ac:dyDescent="0.25">
      <c r="A274" s="9" t="s">
        <v>9</v>
      </c>
      <c r="B274" s="10">
        <v>64010</v>
      </c>
      <c r="C274" s="10" t="s">
        <v>10</v>
      </c>
      <c r="D274" s="95" t="s">
        <v>607</v>
      </c>
      <c r="E274" s="11" t="s">
        <v>608</v>
      </c>
      <c r="F274" s="17"/>
      <c r="G274" s="18"/>
      <c r="H274" s="13">
        <v>2</v>
      </c>
      <c r="I274" s="14">
        <v>0.5</v>
      </c>
      <c r="J274" s="100">
        <f t="shared" si="4"/>
        <v>102.09</v>
      </c>
    </row>
    <row r="275" spans="1:10" ht="18.75" customHeight="1" x14ac:dyDescent="0.25">
      <c r="A275" s="9" t="s">
        <v>9</v>
      </c>
      <c r="B275" s="10">
        <v>64011</v>
      </c>
      <c r="C275" s="10" t="s">
        <v>10</v>
      </c>
      <c r="D275" s="95" t="s">
        <v>609</v>
      </c>
      <c r="E275" s="11" t="s">
        <v>610</v>
      </c>
      <c r="F275" s="17"/>
      <c r="G275" s="18"/>
      <c r="H275" s="13">
        <v>2</v>
      </c>
      <c r="I275" s="14">
        <v>0.5</v>
      </c>
      <c r="J275" s="100">
        <f t="shared" si="4"/>
        <v>102.09</v>
      </c>
    </row>
    <row r="276" spans="1:10" ht="18.75" customHeight="1" x14ac:dyDescent="0.25">
      <c r="A276" s="9" t="s">
        <v>9</v>
      </c>
      <c r="B276" s="10">
        <v>64012</v>
      </c>
      <c r="C276" s="10" t="s">
        <v>10</v>
      </c>
      <c r="D276" s="95" t="s">
        <v>611</v>
      </c>
      <c r="E276" s="11" t="s">
        <v>612</v>
      </c>
      <c r="F276" s="17"/>
      <c r="G276" s="18"/>
      <c r="H276" s="13">
        <v>2</v>
      </c>
      <c r="I276" s="14">
        <v>0.5</v>
      </c>
      <c r="J276" s="100">
        <f t="shared" si="4"/>
        <v>102.09</v>
      </c>
    </row>
    <row r="277" spans="1:10" ht="18.75" customHeight="1" x14ac:dyDescent="0.25">
      <c r="A277" s="9" t="s">
        <v>9</v>
      </c>
      <c r="B277" s="10">
        <v>64240</v>
      </c>
      <c r="C277" s="10" t="s">
        <v>10</v>
      </c>
      <c r="D277" s="95" t="s">
        <v>613</v>
      </c>
      <c r="E277" s="11" t="s">
        <v>614</v>
      </c>
      <c r="F277" s="17" t="s">
        <v>615</v>
      </c>
      <c r="G277" s="18"/>
      <c r="H277" s="13">
        <v>2</v>
      </c>
      <c r="I277" s="14">
        <v>0.5</v>
      </c>
      <c r="J277" s="100">
        <f t="shared" si="4"/>
        <v>102.09</v>
      </c>
    </row>
    <row r="278" spans="1:10" ht="18.75" customHeight="1" x14ac:dyDescent="0.25">
      <c r="A278" s="9" t="s">
        <v>9</v>
      </c>
      <c r="B278" s="10">
        <v>64224</v>
      </c>
      <c r="C278" s="10" t="s">
        <v>10</v>
      </c>
      <c r="D278" s="95" t="s">
        <v>791</v>
      </c>
      <c r="E278" s="11" t="s">
        <v>792</v>
      </c>
      <c r="F278" s="39"/>
      <c r="G278" s="20"/>
      <c r="H278" s="13">
        <v>2</v>
      </c>
      <c r="I278" s="14">
        <v>0.3</v>
      </c>
      <c r="J278" s="100">
        <f t="shared" si="4"/>
        <v>61.253999999999998</v>
      </c>
    </row>
    <row r="279" spans="1:10" ht="18.75" customHeight="1" x14ac:dyDescent="0.25">
      <c r="A279" s="9" t="s">
        <v>9</v>
      </c>
      <c r="B279" s="10">
        <v>66062</v>
      </c>
      <c r="C279" s="10" t="s">
        <v>30</v>
      </c>
      <c r="D279" s="95" t="s">
        <v>420</v>
      </c>
      <c r="E279" s="11" t="s">
        <v>617</v>
      </c>
      <c r="F279" s="17" t="s">
        <v>166</v>
      </c>
      <c r="G279" s="18" t="s">
        <v>167</v>
      </c>
      <c r="H279" s="13">
        <v>2</v>
      </c>
      <c r="I279" s="14">
        <v>0.5</v>
      </c>
      <c r="J279" s="100">
        <f t="shared" si="4"/>
        <v>102.09</v>
      </c>
    </row>
    <row r="280" spans="1:10" ht="18.75" customHeight="1" x14ac:dyDescent="0.25">
      <c r="A280" s="40" t="s">
        <v>9</v>
      </c>
      <c r="B280" s="85"/>
      <c r="C280" s="86" t="s">
        <v>10</v>
      </c>
      <c r="D280" s="96" t="s">
        <v>618</v>
      </c>
      <c r="E280" s="87" t="s">
        <v>619</v>
      </c>
      <c r="F280" s="87" t="s">
        <v>260</v>
      </c>
      <c r="G280" s="88" t="s">
        <v>261</v>
      </c>
      <c r="H280" s="89">
        <v>2</v>
      </c>
      <c r="I280" s="90" t="e">
        <f>#REF!/10</f>
        <v>#REF!</v>
      </c>
      <c r="J280" s="100" t="e">
        <f t="shared" si="4"/>
        <v>#REF!</v>
      </c>
    </row>
    <row r="281" spans="1:10" ht="18.75" customHeight="1" x14ac:dyDescent="0.25">
      <c r="A281" s="9" t="s">
        <v>9</v>
      </c>
      <c r="B281" s="10">
        <v>68030</v>
      </c>
      <c r="C281" s="10" t="s">
        <v>10</v>
      </c>
      <c r="D281" s="95" t="s">
        <v>620</v>
      </c>
      <c r="E281" s="11" t="s">
        <v>621</v>
      </c>
      <c r="F281" s="17" t="s">
        <v>622</v>
      </c>
      <c r="G281" s="18" t="s">
        <v>623</v>
      </c>
      <c r="H281" s="13">
        <v>2</v>
      </c>
      <c r="I281" s="14">
        <v>0.4999999999999985</v>
      </c>
      <c r="J281" s="100">
        <f t="shared" si="4"/>
        <v>102.08999999999969</v>
      </c>
    </row>
    <row r="282" spans="1:10" ht="18.75" customHeight="1" x14ac:dyDescent="0.25">
      <c r="A282" s="9" t="s">
        <v>9</v>
      </c>
      <c r="B282" s="10">
        <v>60127</v>
      </c>
      <c r="C282" s="10" t="s">
        <v>30</v>
      </c>
      <c r="D282" s="95" t="s">
        <v>383</v>
      </c>
      <c r="E282" s="11" t="s">
        <v>531</v>
      </c>
      <c r="F282" s="21" t="s">
        <v>343</v>
      </c>
      <c r="G282" s="12" t="s">
        <v>344</v>
      </c>
      <c r="H282" s="13">
        <v>2</v>
      </c>
      <c r="I282" s="14">
        <v>0.48888888888888982</v>
      </c>
      <c r="J282" s="100">
        <f t="shared" si="4"/>
        <v>99.821333333333527</v>
      </c>
    </row>
    <row r="283" spans="1:10" ht="18.75" customHeight="1" x14ac:dyDescent="0.25">
      <c r="A283" s="9" t="s">
        <v>9</v>
      </c>
      <c r="B283" s="10">
        <v>60163</v>
      </c>
      <c r="C283" s="10" t="s">
        <v>10</v>
      </c>
      <c r="D283" s="95" t="s">
        <v>624</v>
      </c>
      <c r="E283" s="11" t="s">
        <v>625</v>
      </c>
      <c r="F283" s="21"/>
      <c r="G283" s="22"/>
      <c r="H283" s="13">
        <v>2</v>
      </c>
      <c r="I283" s="14">
        <v>0.48717948717948889</v>
      </c>
      <c r="J283" s="100">
        <f t="shared" si="4"/>
        <v>99.47230769230805</v>
      </c>
    </row>
    <row r="284" spans="1:10" ht="18.75" customHeight="1" x14ac:dyDescent="0.25">
      <c r="A284" s="9" t="s">
        <v>9</v>
      </c>
      <c r="B284" s="10">
        <v>62074</v>
      </c>
      <c r="C284" s="10" t="s">
        <v>10</v>
      </c>
      <c r="D284" s="95" t="s">
        <v>384</v>
      </c>
      <c r="E284" s="11" t="s">
        <v>385</v>
      </c>
      <c r="F284" s="17" t="s">
        <v>318</v>
      </c>
      <c r="G284" s="18" t="s">
        <v>205</v>
      </c>
      <c r="H284" s="13">
        <v>6</v>
      </c>
      <c r="I284" s="14">
        <v>2.0064000000000011</v>
      </c>
      <c r="J284" s="100">
        <f t="shared" si="4"/>
        <v>409.66675200000026</v>
      </c>
    </row>
    <row r="285" spans="1:10" ht="18.75" customHeight="1" x14ac:dyDescent="0.25">
      <c r="A285" s="9" t="s">
        <v>9</v>
      </c>
      <c r="B285" s="10">
        <v>60052</v>
      </c>
      <c r="C285" s="10" t="s">
        <v>30</v>
      </c>
      <c r="D285" s="95" t="s">
        <v>819</v>
      </c>
      <c r="E285" s="11" t="s">
        <v>761</v>
      </c>
      <c r="F285" s="17"/>
      <c r="G285" s="19"/>
      <c r="H285" s="13">
        <v>2</v>
      </c>
      <c r="I285" s="14">
        <v>0.15750000000000058</v>
      </c>
      <c r="J285" s="100">
        <f t="shared" si="4"/>
        <v>32.158350000000119</v>
      </c>
    </row>
    <row r="286" spans="1:10" ht="18.75" customHeight="1" x14ac:dyDescent="0.25">
      <c r="A286" s="9" t="s">
        <v>9</v>
      </c>
      <c r="B286" s="10">
        <v>64214</v>
      </c>
      <c r="C286" s="10" t="s">
        <v>10</v>
      </c>
      <c r="D286" s="95" t="s">
        <v>630</v>
      </c>
      <c r="E286" s="11" t="s">
        <v>631</v>
      </c>
      <c r="F286" s="17" t="s">
        <v>632</v>
      </c>
      <c r="G286" s="18" t="s">
        <v>633</v>
      </c>
      <c r="H286" s="13">
        <v>2</v>
      </c>
      <c r="I286" s="14">
        <v>0.48000000000000043</v>
      </c>
      <c r="J286" s="100">
        <f t="shared" si="4"/>
        <v>98.006400000000085</v>
      </c>
    </row>
    <row r="287" spans="1:10" ht="18.75" customHeight="1" x14ac:dyDescent="0.25">
      <c r="A287" s="9" t="s">
        <v>9</v>
      </c>
      <c r="B287" s="10">
        <v>60002</v>
      </c>
      <c r="C287" s="10" t="s">
        <v>30</v>
      </c>
      <c r="D287" s="95" t="s">
        <v>481</v>
      </c>
      <c r="E287" s="11" t="s">
        <v>634</v>
      </c>
      <c r="F287" s="17"/>
      <c r="G287" s="18"/>
      <c r="H287" s="13">
        <v>2</v>
      </c>
      <c r="I287" s="14">
        <v>0.47999999999999987</v>
      </c>
      <c r="J287" s="100">
        <f t="shared" si="4"/>
        <v>98.006399999999971</v>
      </c>
    </row>
    <row r="288" spans="1:10" ht="18.75" customHeight="1" x14ac:dyDescent="0.25">
      <c r="A288" s="9" t="s">
        <v>9</v>
      </c>
      <c r="B288" s="10">
        <v>60126</v>
      </c>
      <c r="C288" s="10" t="s">
        <v>30</v>
      </c>
      <c r="D288" s="95" t="s">
        <v>382</v>
      </c>
      <c r="E288" s="11" t="s">
        <v>531</v>
      </c>
      <c r="F288" s="21" t="s">
        <v>343</v>
      </c>
      <c r="G288" s="12" t="s">
        <v>344</v>
      </c>
      <c r="H288" s="13">
        <v>2</v>
      </c>
      <c r="I288" s="14">
        <v>0.47647058823529614</v>
      </c>
      <c r="J288" s="100">
        <f t="shared" si="4"/>
        <v>97.285764705882769</v>
      </c>
    </row>
    <row r="289" spans="1:10" ht="18.75" customHeight="1" x14ac:dyDescent="0.25">
      <c r="A289" s="9" t="s">
        <v>9</v>
      </c>
      <c r="B289" s="10">
        <v>62314</v>
      </c>
      <c r="C289" s="10" t="s">
        <v>30</v>
      </c>
      <c r="D289" s="95" t="s">
        <v>311</v>
      </c>
      <c r="E289" s="11" t="s">
        <v>635</v>
      </c>
      <c r="F289" s="17"/>
      <c r="G289" s="18"/>
      <c r="H289" s="13">
        <v>2</v>
      </c>
      <c r="I289" s="14">
        <v>0.47500000000000248</v>
      </c>
      <c r="J289" s="100">
        <f t="shared" si="4"/>
        <v>96.985500000000513</v>
      </c>
    </row>
    <row r="290" spans="1:10" ht="18.75" customHeight="1" x14ac:dyDescent="0.25">
      <c r="A290" s="9" t="s">
        <v>9</v>
      </c>
      <c r="B290" s="10">
        <v>62046</v>
      </c>
      <c r="C290" s="10" t="s">
        <v>10</v>
      </c>
      <c r="D290" s="95" t="s">
        <v>316</v>
      </c>
      <c r="E290" s="11" t="s">
        <v>317</v>
      </c>
      <c r="F290" s="17" t="s">
        <v>318</v>
      </c>
      <c r="G290" s="18" t="s">
        <v>205</v>
      </c>
      <c r="H290" s="13">
        <v>6</v>
      </c>
      <c r="I290" s="14">
        <v>2.5519999999999912</v>
      </c>
      <c r="J290" s="100">
        <f t="shared" si="4"/>
        <v>521.06735999999819</v>
      </c>
    </row>
    <row r="291" spans="1:10" ht="18.75" customHeight="1" x14ac:dyDescent="0.25">
      <c r="A291" s="9" t="s">
        <v>9</v>
      </c>
      <c r="B291" s="10">
        <v>62061</v>
      </c>
      <c r="C291" s="10" t="s">
        <v>10</v>
      </c>
      <c r="D291" s="95" t="s">
        <v>639</v>
      </c>
      <c r="E291" s="11" t="s">
        <v>640</v>
      </c>
      <c r="F291" s="11" t="s">
        <v>13</v>
      </c>
      <c r="G291" s="12" t="s">
        <v>14</v>
      </c>
      <c r="H291" s="13">
        <v>2</v>
      </c>
      <c r="I291" s="14">
        <v>0.46818181818182003</v>
      </c>
      <c r="J291" s="100">
        <f t="shared" si="4"/>
        <v>95.593363636364018</v>
      </c>
    </row>
    <row r="292" spans="1:10" ht="18.75" customHeight="1" x14ac:dyDescent="0.25">
      <c r="A292" s="9" t="s">
        <v>9</v>
      </c>
      <c r="B292" s="10">
        <v>64087</v>
      </c>
      <c r="C292" s="10" t="s">
        <v>10</v>
      </c>
      <c r="D292" s="95" t="s">
        <v>788</v>
      </c>
      <c r="E292" s="11" t="s">
        <v>730</v>
      </c>
      <c r="F292" s="17"/>
      <c r="G292" s="18"/>
      <c r="H292" s="13">
        <v>2</v>
      </c>
      <c r="I292" s="14">
        <v>0.3</v>
      </c>
      <c r="J292" s="100">
        <f t="shared" si="4"/>
        <v>61.253999999999998</v>
      </c>
    </row>
    <row r="293" spans="1:10" ht="18.75" customHeight="1" x14ac:dyDescent="0.25">
      <c r="A293" s="9" t="s">
        <v>9</v>
      </c>
      <c r="B293" s="10">
        <v>64094</v>
      </c>
      <c r="C293" s="10" t="s">
        <v>30</v>
      </c>
      <c r="D293" s="95" t="s">
        <v>645</v>
      </c>
      <c r="E293" s="11" t="s">
        <v>646</v>
      </c>
      <c r="F293" s="17" t="s">
        <v>632</v>
      </c>
      <c r="G293" s="18" t="s">
        <v>647</v>
      </c>
      <c r="H293" s="13">
        <v>2</v>
      </c>
      <c r="I293" s="14">
        <v>0.45999999999999758</v>
      </c>
      <c r="J293" s="100">
        <f t="shared" si="4"/>
        <v>93.922799999999512</v>
      </c>
    </row>
    <row r="294" spans="1:10" ht="18.75" customHeight="1" x14ac:dyDescent="0.25">
      <c r="A294" s="9" t="s">
        <v>9</v>
      </c>
      <c r="B294" s="10">
        <v>68000</v>
      </c>
      <c r="C294" s="10" t="s">
        <v>30</v>
      </c>
      <c r="D294" s="95" t="s">
        <v>518</v>
      </c>
      <c r="E294" s="11" t="s">
        <v>648</v>
      </c>
      <c r="F294" s="17" t="s">
        <v>520</v>
      </c>
      <c r="G294" s="18">
        <v>0</v>
      </c>
      <c r="H294" s="13">
        <v>2</v>
      </c>
      <c r="I294" s="14">
        <v>0.45000000000000095</v>
      </c>
      <c r="J294" s="100">
        <f t="shared" si="4"/>
        <v>91.881000000000199</v>
      </c>
    </row>
    <row r="295" spans="1:10" ht="18.75" customHeight="1" x14ac:dyDescent="0.25">
      <c r="A295" s="9" t="s">
        <v>9</v>
      </c>
      <c r="B295" s="10">
        <v>64043</v>
      </c>
      <c r="C295" s="10" t="s">
        <v>30</v>
      </c>
      <c r="D295" s="95" t="s">
        <v>492</v>
      </c>
      <c r="E295" s="11" t="s">
        <v>649</v>
      </c>
      <c r="F295" s="17" t="s">
        <v>494</v>
      </c>
      <c r="G295" s="18" t="s">
        <v>495</v>
      </c>
      <c r="H295" s="13">
        <v>2</v>
      </c>
      <c r="I295" s="14">
        <v>0.45000000000000095</v>
      </c>
      <c r="J295" s="100">
        <f t="shared" si="4"/>
        <v>91.881000000000199</v>
      </c>
    </row>
    <row r="296" spans="1:10" ht="18.75" customHeight="1" x14ac:dyDescent="0.25">
      <c r="A296" s="9" t="s">
        <v>9</v>
      </c>
      <c r="B296" s="10">
        <v>62066</v>
      </c>
      <c r="C296" s="10" t="s">
        <v>10</v>
      </c>
      <c r="D296" s="95" t="s">
        <v>926</v>
      </c>
      <c r="E296" s="11" t="s">
        <v>890</v>
      </c>
      <c r="F296" s="17" t="s">
        <v>891</v>
      </c>
      <c r="G296" s="18" t="s">
        <v>892</v>
      </c>
      <c r="H296" s="13">
        <v>2</v>
      </c>
      <c r="I296" s="14">
        <v>0.13611111111111221</v>
      </c>
      <c r="J296" s="100">
        <f t="shared" si="4"/>
        <v>27.791166666666893</v>
      </c>
    </row>
    <row r="297" spans="1:10" ht="18.75" customHeight="1" x14ac:dyDescent="0.25">
      <c r="A297" s="9" t="s">
        <v>9</v>
      </c>
      <c r="B297" s="10">
        <v>64224</v>
      </c>
      <c r="C297" s="10" t="s">
        <v>30</v>
      </c>
      <c r="D297" s="95" t="s">
        <v>791</v>
      </c>
      <c r="E297" s="11" t="s">
        <v>881</v>
      </c>
      <c r="F297" s="39"/>
      <c r="G297" s="20"/>
      <c r="H297" s="13">
        <v>2</v>
      </c>
      <c r="I297" s="14">
        <v>0.18</v>
      </c>
      <c r="J297" s="100">
        <f t="shared" si="4"/>
        <v>36.752400000000002</v>
      </c>
    </row>
    <row r="298" spans="1:10" ht="18.75" customHeight="1" x14ac:dyDescent="0.25">
      <c r="A298" s="9" t="s">
        <v>9</v>
      </c>
      <c r="B298" s="10">
        <v>64233</v>
      </c>
      <c r="C298" s="10" t="s">
        <v>10</v>
      </c>
      <c r="D298" s="95" t="s">
        <v>654</v>
      </c>
      <c r="E298" s="11" t="s">
        <v>655</v>
      </c>
      <c r="F298" s="39"/>
      <c r="G298" s="20"/>
      <c r="H298" s="13">
        <v>2</v>
      </c>
      <c r="I298" s="14">
        <v>0.45</v>
      </c>
      <c r="J298" s="100">
        <f t="shared" si="4"/>
        <v>91.881</v>
      </c>
    </row>
    <row r="299" spans="1:10" ht="18.75" customHeight="1" x14ac:dyDescent="0.25">
      <c r="A299" s="9" t="s">
        <v>9</v>
      </c>
      <c r="B299" s="10">
        <v>60130</v>
      </c>
      <c r="C299" s="10" t="s">
        <v>10</v>
      </c>
      <c r="D299" s="95" t="s">
        <v>656</v>
      </c>
      <c r="E299" s="11" t="s">
        <v>657</v>
      </c>
      <c r="F299" s="11" t="s">
        <v>255</v>
      </c>
      <c r="G299" s="12" t="s">
        <v>130</v>
      </c>
      <c r="H299" s="13">
        <v>2</v>
      </c>
      <c r="I299" s="14">
        <v>0.44999999999999962</v>
      </c>
      <c r="J299" s="100">
        <f t="shared" si="4"/>
        <v>91.880999999999929</v>
      </c>
    </row>
    <row r="300" spans="1:10" ht="18.75" customHeight="1" x14ac:dyDescent="0.25">
      <c r="A300" s="9" t="s">
        <v>9</v>
      </c>
      <c r="B300" s="10">
        <v>60055</v>
      </c>
      <c r="C300" s="10" t="s">
        <v>10</v>
      </c>
      <c r="D300" s="95" t="s">
        <v>628</v>
      </c>
      <c r="E300" s="11" t="s">
        <v>629</v>
      </c>
      <c r="F300" s="17"/>
      <c r="G300" s="19"/>
      <c r="H300" s="13">
        <v>2</v>
      </c>
      <c r="I300" s="14">
        <v>0.48000000000000059</v>
      </c>
      <c r="J300" s="100">
        <f t="shared" si="4"/>
        <v>98.006400000000127</v>
      </c>
    </row>
    <row r="301" spans="1:10" ht="18.75" customHeight="1" x14ac:dyDescent="0.25">
      <c r="A301" s="9" t="s">
        <v>9</v>
      </c>
      <c r="B301" s="10">
        <v>60111</v>
      </c>
      <c r="C301" s="10" t="s">
        <v>30</v>
      </c>
      <c r="D301" s="95" t="s">
        <v>405</v>
      </c>
      <c r="E301" s="11" t="s">
        <v>660</v>
      </c>
      <c r="F301" s="17"/>
      <c r="G301" s="18"/>
      <c r="H301" s="13">
        <v>2</v>
      </c>
      <c r="I301" s="14">
        <v>0.43999999999999878</v>
      </c>
      <c r="J301" s="100">
        <f t="shared" si="4"/>
        <v>89.839199999999749</v>
      </c>
    </row>
    <row r="302" spans="1:10" ht="18.75" customHeight="1" x14ac:dyDescent="0.25">
      <c r="A302" s="9" t="s">
        <v>9</v>
      </c>
      <c r="B302" s="10">
        <v>60055</v>
      </c>
      <c r="C302" s="10" t="s">
        <v>30</v>
      </c>
      <c r="D302" s="95" t="s">
        <v>628</v>
      </c>
      <c r="E302" s="11" t="s">
        <v>761</v>
      </c>
      <c r="F302" s="17"/>
      <c r="G302" s="19"/>
      <c r="H302" s="13">
        <v>2</v>
      </c>
      <c r="I302" s="14">
        <v>0.30000000000000399</v>
      </c>
      <c r="J302" s="100">
        <f t="shared" si="4"/>
        <v>61.254000000000815</v>
      </c>
    </row>
    <row r="303" spans="1:10" ht="18.75" customHeight="1" x14ac:dyDescent="0.25">
      <c r="A303" s="9" t="s">
        <v>9</v>
      </c>
      <c r="B303" s="10">
        <v>60045</v>
      </c>
      <c r="C303" s="10" t="s">
        <v>10</v>
      </c>
      <c r="D303" s="95" t="s">
        <v>825</v>
      </c>
      <c r="E303" s="11" t="s">
        <v>826</v>
      </c>
      <c r="F303" s="17" t="s">
        <v>827</v>
      </c>
      <c r="G303" s="18" t="s">
        <v>828</v>
      </c>
      <c r="H303" s="13">
        <v>2</v>
      </c>
      <c r="I303" s="14">
        <v>0.25500000000000034</v>
      </c>
      <c r="J303" s="100">
        <f t="shared" si="4"/>
        <v>52.06590000000007</v>
      </c>
    </row>
    <row r="304" spans="1:10" ht="18.75" customHeight="1" x14ac:dyDescent="0.25">
      <c r="A304" s="9" t="s">
        <v>9</v>
      </c>
      <c r="B304" s="10">
        <v>62124</v>
      </c>
      <c r="C304" s="10" t="s">
        <v>10</v>
      </c>
      <c r="D304" s="95" t="s">
        <v>667</v>
      </c>
      <c r="E304" s="11" t="s">
        <v>408</v>
      </c>
      <c r="F304" s="17" t="s">
        <v>327</v>
      </c>
      <c r="G304" s="18" t="s">
        <v>328</v>
      </c>
      <c r="H304" s="13">
        <v>2</v>
      </c>
      <c r="I304" s="14">
        <v>0.42222222222222322</v>
      </c>
      <c r="J304" s="100">
        <f t="shared" si="4"/>
        <v>86.209333333333547</v>
      </c>
    </row>
    <row r="305" spans="1:11" ht="18.75" customHeight="1" x14ac:dyDescent="0.25">
      <c r="A305" s="9" t="s">
        <v>9</v>
      </c>
      <c r="B305" s="10">
        <v>64134</v>
      </c>
      <c r="C305" s="10" t="s">
        <v>10</v>
      </c>
      <c r="D305" s="95" t="s">
        <v>789</v>
      </c>
      <c r="E305" s="11" t="s">
        <v>790</v>
      </c>
      <c r="F305" s="17"/>
      <c r="G305" s="18"/>
      <c r="H305" s="13">
        <v>2</v>
      </c>
      <c r="I305" s="14">
        <v>0.3</v>
      </c>
      <c r="J305" s="100">
        <f t="shared" si="4"/>
        <v>61.253999999999998</v>
      </c>
    </row>
    <row r="306" spans="1:11" ht="18.75" customHeight="1" x14ac:dyDescent="0.25">
      <c r="A306" s="9" t="s">
        <v>9</v>
      </c>
      <c r="B306" s="10">
        <v>64134</v>
      </c>
      <c r="C306" s="10" t="s">
        <v>30</v>
      </c>
      <c r="D306" s="95" t="s">
        <v>789</v>
      </c>
      <c r="E306" s="11" t="s">
        <v>831</v>
      </c>
      <c r="F306" s="17"/>
      <c r="G306" s="18"/>
      <c r="H306" s="13">
        <v>2</v>
      </c>
      <c r="I306" s="14">
        <v>0.25</v>
      </c>
      <c r="J306" s="100">
        <f t="shared" si="4"/>
        <v>51.045000000000002</v>
      </c>
    </row>
    <row r="307" spans="1:11" ht="18.75" customHeight="1" x14ac:dyDescent="0.25">
      <c r="A307" s="9" t="s">
        <v>9</v>
      </c>
      <c r="B307" s="10">
        <v>64079</v>
      </c>
      <c r="C307" s="10" t="s">
        <v>30</v>
      </c>
      <c r="D307" s="95" t="s">
        <v>515</v>
      </c>
      <c r="E307" s="11" t="s">
        <v>670</v>
      </c>
      <c r="F307" s="17" t="s">
        <v>517</v>
      </c>
      <c r="G307" s="18">
        <v>0</v>
      </c>
      <c r="H307" s="13">
        <v>2</v>
      </c>
      <c r="I307" s="14">
        <v>0.42000000000000182</v>
      </c>
      <c r="J307" s="100">
        <f t="shared" si="4"/>
        <v>85.755600000000371</v>
      </c>
    </row>
    <row r="308" spans="1:11" ht="18.75" customHeight="1" x14ac:dyDescent="0.25">
      <c r="A308" s="9" t="s">
        <v>9</v>
      </c>
      <c r="B308" s="10">
        <v>64104</v>
      </c>
      <c r="C308" s="10" t="s">
        <v>10</v>
      </c>
      <c r="D308" s="95" t="s">
        <v>671</v>
      </c>
      <c r="E308" s="11" t="s">
        <v>672</v>
      </c>
      <c r="F308" s="11" t="s">
        <v>255</v>
      </c>
      <c r="G308" s="12" t="s">
        <v>507</v>
      </c>
      <c r="H308" s="13">
        <v>2</v>
      </c>
      <c r="I308" s="14">
        <v>0.41545454545454552</v>
      </c>
      <c r="J308" s="100">
        <f t="shared" si="4"/>
        <v>84.827509090909103</v>
      </c>
    </row>
    <row r="309" spans="1:11" ht="18.75" customHeight="1" x14ac:dyDescent="0.25">
      <c r="A309" s="9" t="s">
        <v>9</v>
      </c>
      <c r="B309" s="10">
        <v>64094</v>
      </c>
      <c r="C309" s="10" t="s">
        <v>10</v>
      </c>
      <c r="D309" s="95" t="s">
        <v>645</v>
      </c>
      <c r="E309" s="11" t="s">
        <v>673</v>
      </c>
      <c r="F309" s="17" t="s">
        <v>632</v>
      </c>
      <c r="G309" s="18" t="s">
        <v>647</v>
      </c>
      <c r="H309" s="13">
        <v>2</v>
      </c>
      <c r="I309" s="14">
        <v>0.40714285714285392</v>
      </c>
      <c r="J309" s="100">
        <f t="shared" si="4"/>
        <v>83.130428571427913</v>
      </c>
    </row>
    <row r="310" spans="1:11" ht="18.75" customHeight="1" x14ac:dyDescent="0.25">
      <c r="A310" s="9" t="s">
        <v>9</v>
      </c>
      <c r="B310" s="10">
        <v>64096</v>
      </c>
      <c r="C310" s="10" t="s">
        <v>10</v>
      </c>
      <c r="D310" s="95" t="s">
        <v>674</v>
      </c>
      <c r="E310" s="11" t="s">
        <v>673</v>
      </c>
      <c r="F310" s="17" t="s">
        <v>632</v>
      </c>
      <c r="G310" s="18" t="s">
        <v>647</v>
      </c>
      <c r="H310" s="13">
        <v>2</v>
      </c>
      <c r="I310" s="14">
        <v>0.40714285714285392</v>
      </c>
      <c r="J310" s="100">
        <f t="shared" si="4"/>
        <v>83.130428571427913</v>
      </c>
    </row>
    <row r="311" spans="1:11" ht="18.75" customHeight="1" x14ac:dyDescent="0.25">
      <c r="A311" s="9" t="s">
        <v>9</v>
      </c>
      <c r="B311" s="10">
        <v>62067</v>
      </c>
      <c r="C311" s="10" t="s">
        <v>10</v>
      </c>
      <c r="D311" s="95" t="s">
        <v>889</v>
      </c>
      <c r="E311" s="11" t="s">
        <v>890</v>
      </c>
      <c r="F311" s="17" t="s">
        <v>891</v>
      </c>
      <c r="G311" s="18" t="s">
        <v>892</v>
      </c>
      <c r="H311" s="13">
        <v>2</v>
      </c>
      <c r="I311" s="14">
        <v>0.17606837606837644</v>
      </c>
      <c r="J311" s="100">
        <f t="shared" si="4"/>
        <v>35.9496410256411</v>
      </c>
    </row>
    <row r="312" spans="1:11" ht="18.75" customHeight="1" x14ac:dyDescent="0.25">
      <c r="A312" s="9" t="s">
        <v>9</v>
      </c>
      <c r="B312" s="10">
        <v>64197</v>
      </c>
      <c r="C312" s="10" t="s">
        <v>30</v>
      </c>
      <c r="D312" s="95" t="s">
        <v>483</v>
      </c>
      <c r="E312" s="11" t="s">
        <v>676</v>
      </c>
      <c r="F312" s="17"/>
      <c r="G312" s="18"/>
      <c r="H312" s="13">
        <v>2</v>
      </c>
      <c r="I312" s="14">
        <v>0.40000000000000402</v>
      </c>
      <c r="J312" s="100">
        <f t="shared" si="4"/>
        <v>81.672000000000821</v>
      </c>
    </row>
    <row r="313" spans="1:11" ht="18.75" customHeight="1" x14ac:dyDescent="0.25">
      <c r="A313" s="9" t="s">
        <v>9</v>
      </c>
      <c r="B313" s="10">
        <v>62193</v>
      </c>
      <c r="C313" s="10" t="s">
        <v>10</v>
      </c>
      <c r="D313" s="95" t="s">
        <v>103</v>
      </c>
      <c r="E313" s="11" t="s">
        <v>102</v>
      </c>
      <c r="F313" s="17"/>
      <c r="G313" s="18"/>
      <c r="H313" s="13">
        <v>3</v>
      </c>
      <c r="I313" s="14">
        <v>5.1932820512820523</v>
      </c>
      <c r="J313" s="100">
        <f t="shared" si="4"/>
        <v>1060.3643292307695</v>
      </c>
    </row>
    <row r="314" spans="1:11" ht="18.75" customHeight="1" x14ac:dyDescent="0.25">
      <c r="A314" s="9" t="s">
        <v>9</v>
      </c>
      <c r="B314" s="10">
        <v>62238</v>
      </c>
      <c r="C314" s="10" t="s">
        <v>10</v>
      </c>
      <c r="D314" s="95" t="s">
        <v>689</v>
      </c>
      <c r="E314" s="11" t="s">
        <v>690</v>
      </c>
      <c r="F314" s="17"/>
      <c r="G314" s="18"/>
      <c r="H314" s="13">
        <v>2</v>
      </c>
      <c r="I314" s="14">
        <v>0.4</v>
      </c>
      <c r="J314" s="100">
        <f t="shared" si="4"/>
        <v>81.672000000000011</v>
      </c>
    </row>
    <row r="315" spans="1:11" ht="18.75" customHeight="1" x14ac:dyDescent="0.25">
      <c r="A315" s="9" t="s">
        <v>9</v>
      </c>
      <c r="B315" s="10">
        <v>60044</v>
      </c>
      <c r="C315" s="10" t="s">
        <v>10</v>
      </c>
      <c r="D315" s="95" t="s">
        <v>824</v>
      </c>
      <c r="E315" s="11" t="s">
        <v>664</v>
      </c>
      <c r="F315" s="17" t="s">
        <v>665</v>
      </c>
      <c r="G315" s="18" t="s">
        <v>666</v>
      </c>
      <c r="H315" s="13">
        <v>2</v>
      </c>
      <c r="I315" s="14">
        <v>0.25500000000000034</v>
      </c>
      <c r="J315" s="100">
        <f t="shared" si="4"/>
        <v>52.06590000000007</v>
      </c>
    </row>
    <row r="316" spans="1:11" ht="18.75" customHeight="1" x14ac:dyDescent="0.25">
      <c r="A316" s="9" t="s">
        <v>9</v>
      </c>
      <c r="B316" s="10">
        <v>60023</v>
      </c>
      <c r="C316" s="10" t="s">
        <v>30</v>
      </c>
      <c r="D316" s="95" t="s">
        <v>604</v>
      </c>
      <c r="E316" s="11" t="s">
        <v>550</v>
      </c>
      <c r="F316" s="17"/>
      <c r="G316" s="18"/>
      <c r="H316" s="13">
        <v>2</v>
      </c>
      <c r="I316" s="14">
        <v>0.4</v>
      </c>
      <c r="J316" s="100">
        <f t="shared" si="4"/>
        <v>81.672000000000011</v>
      </c>
      <c r="K316" s="15" t="e">
        <f>COUNTIF('[1]C&amp;M (LV)'!B:B,B316)</f>
        <v>#VALUE!</v>
      </c>
    </row>
    <row r="317" spans="1:11" ht="18.75" customHeight="1" x14ac:dyDescent="0.25">
      <c r="A317" s="9" t="s">
        <v>9</v>
      </c>
      <c r="B317" s="10">
        <v>62238</v>
      </c>
      <c r="C317" s="10" t="s">
        <v>30</v>
      </c>
      <c r="D317" s="95" t="s">
        <v>689</v>
      </c>
      <c r="E317" s="11" t="s">
        <v>783</v>
      </c>
      <c r="F317" s="17"/>
      <c r="G317" s="18"/>
      <c r="H317" s="13">
        <v>2</v>
      </c>
      <c r="I317" s="14">
        <v>0.3</v>
      </c>
      <c r="J317" s="100">
        <f t="shared" si="4"/>
        <v>61.253999999999998</v>
      </c>
    </row>
    <row r="318" spans="1:11" ht="18.75" customHeight="1" x14ac:dyDescent="0.25">
      <c r="A318" s="9" t="s">
        <v>9</v>
      </c>
      <c r="B318" s="10">
        <v>62194</v>
      </c>
      <c r="C318" s="10" t="s">
        <v>10</v>
      </c>
      <c r="D318" s="95" t="s">
        <v>685</v>
      </c>
      <c r="E318" s="11" t="s">
        <v>686</v>
      </c>
      <c r="F318" s="17"/>
      <c r="G318" s="18"/>
      <c r="H318" s="13">
        <v>2</v>
      </c>
      <c r="I318" s="14">
        <v>0.4</v>
      </c>
      <c r="J318" s="100">
        <f t="shared" si="4"/>
        <v>81.672000000000011</v>
      </c>
    </row>
    <row r="319" spans="1:11" ht="18.75" customHeight="1" x14ac:dyDescent="0.25">
      <c r="A319" s="9" t="s">
        <v>9</v>
      </c>
      <c r="B319" s="10">
        <v>62194</v>
      </c>
      <c r="C319" s="10" t="s">
        <v>30</v>
      </c>
      <c r="D319" s="95" t="s">
        <v>685</v>
      </c>
      <c r="E319" s="11" t="s">
        <v>781</v>
      </c>
      <c r="F319" s="17"/>
      <c r="G319" s="18"/>
      <c r="H319" s="13">
        <v>2</v>
      </c>
      <c r="I319" s="14">
        <v>0.3</v>
      </c>
      <c r="J319" s="100">
        <f t="shared" si="4"/>
        <v>61.253999999999998</v>
      </c>
    </row>
    <row r="320" spans="1:11" ht="18.75" customHeight="1" x14ac:dyDescent="0.25">
      <c r="A320" s="9" t="s">
        <v>9</v>
      </c>
      <c r="B320" s="10">
        <v>64233</v>
      </c>
      <c r="C320" s="10" t="s">
        <v>30</v>
      </c>
      <c r="D320" s="95" t="s">
        <v>654</v>
      </c>
      <c r="E320" s="11" t="s">
        <v>818</v>
      </c>
      <c r="F320" s="39"/>
      <c r="G320" s="20"/>
      <c r="H320" s="13">
        <v>2</v>
      </c>
      <c r="I320" s="14">
        <v>0.26999999999999996</v>
      </c>
      <c r="J320" s="100">
        <f t="shared" si="4"/>
        <v>55.128599999999992</v>
      </c>
    </row>
    <row r="321" spans="1:17" ht="18.75" customHeight="1" x14ac:dyDescent="0.25">
      <c r="A321" s="9" t="s">
        <v>9</v>
      </c>
      <c r="B321" s="10">
        <v>62150</v>
      </c>
      <c r="C321" s="10" t="s">
        <v>10</v>
      </c>
      <c r="D321" s="95" t="s">
        <v>663</v>
      </c>
      <c r="E321" s="11" t="s">
        <v>664</v>
      </c>
      <c r="F321" s="17" t="s">
        <v>665</v>
      </c>
      <c r="G321" s="18" t="s">
        <v>666</v>
      </c>
      <c r="H321" s="13">
        <v>2</v>
      </c>
      <c r="I321" s="14">
        <v>0.43000000000000005</v>
      </c>
      <c r="J321" s="100">
        <f t="shared" si="4"/>
        <v>87.79740000000001</v>
      </c>
    </row>
    <row r="322" spans="1:17" ht="18.75" customHeight="1" x14ac:dyDescent="0.25">
      <c r="A322" s="9" t="s">
        <v>9</v>
      </c>
      <c r="B322" s="10">
        <v>64087</v>
      </c>
      <c r="C322" s="10" t="s">
        <v>30</v>
      </c>
      <c r="D322" s="95" t="s">
        <v>788</v>
      </c>
      <c r="E322" s="11" t="s">
        <v>852</v>
      </c>
      <c r="F322" s="17"/>
      <c r="G322" s="18"/>
      <c r="H322" s="13">
        <v>2</v>
      </c>
      <c r="I322" s="14">
        <v>0.18</v>
      </c>
      <c r="J322" s="100">
        <f t="shared" si="4"/>
        <v>36.752400000000002</v>
      </c>
    </row>
    <row r="323" spans="1:17" ht="18.75" customHeight="1" x14ac:dyDescent="0.25">
      <c r="A323" s="9" t="s">
        <v>9</v>
      </c>
      <c r="B323" s="10">
        <v>60113</v>
      </c>
      <c r="C323" s="10" t="s">
        <v>10</v>
      </c>
      <c r="D323" s="95" t="s">
        <v>574</v>
      </c>
      <c r="E323" s="11" t="s">
        <v>575</v>
      </c>
      <c r="F323" s="17"/>
      <c r="G323" s="18"/>
      <c r="H323" s="13">
        <v>2</v>
      </c>
      <c r="I323" s="14">
        <v>0.56666666666666998</v>
      </c>
      <c r="J323" s="100">
        <f t="shared" ref="J323:J386" si="5">I323*204.18</f>
        <v>115.70200000000068</v>
      </c>
    </row>
    <row r="324" spans="1:17" ht="18.75" customHeight="1" x14ac:dyDescent="0.25">
      <c r="A324" s="9" t="s">
        <v>9</v>
      </c>
      <c r="B324" s="10">
        <v>60047</v>
      </c>
      <c r="C324" s="10" t="s">
        <v>10</v>
      </c>
      <c r="D324" s="95" t="s">
        <v>501</v>
      </c>
      <c r="E324" s="11" t="s">
        <v>502</v>
      </c>
      <c r="F324" s="17" t="s">
        <v>503</v>
      </c>
      <c r="G324" s="18" t="s">
        <v>504</v>
      </c>
      <c r="H324" s="13">
        <v>2</v>
      </c>
      <c r="I324" s="14">
        <v>0.71666666666666645</v>
      </c>
      <c r="J324" s="100">
        <f t="shared" si="5"/>
        <v>146.32899999999995</v>
      </c>
    </row>
    <row r="325" spans="1:17" ht="18.75" customHeight="1" x14ac:dyDescent="0.25">
      <c r="A325" s="9" t="s">
        <v>9</v>
      </c>
      <c r="B325" s="10">
        <v>64089</v>
      </c>
      <c r="C325" s="10" t="s">
        <v>10</v>
      </c>
      <c r="D325" s="95" t="s">
        <v>729</v>
      </c>
      <c r="E325" s="11" t="s">
        <v>730</v>
      </c>
      <c r="F325" s="17" t="s">
        <v>731</v>
      </c>
      <c r="G325" s="18" t="s">
        <v>732</v>
      </c>
      <c r="H325" s="13">
        <v>2</v>
      </c>
      <c r="I325" s="14">
        <v>0.35</v>
      </c>
      <c r="J325" s="100">
        <f t="shared" si="5"/>
        <v>71.462999999999994</v>
      </c>
    </row>
    <row r="326" spans="1:17" ht="18.75" customHeight="1" x14ac:dyDescent="0.25">
      <c r="A326" s="9" t="s">
        <v>9</v>
      </c>
      <c r="B326" s="10">
        <v>62069</v>
      </c>
      <c r="C326" s="10" t="s">
        <v>10</v>
      </c>
      <c r="D326" s="95" t="s">
        <v>521</v>
      </c>
      <c r="E326" s="11" t="s">
        <v>522</v>
      </c>
      <c r="F326" s="17" t="s">
        <v>523</v>
      </c>
      <c r="G326" s="18" t="s">
        <v>524</v>
      </c>
      <c r="H326" s="13">
        <v>2</v>
      </c>
      <c r="I326" s="14">
        <v>0.68333333333333524</v>
      </c>
      <c r="J326" s="100">
        <f t="shared" si="5"/>
        <v>139.52300000000039</v>
      </c>
      <c r="L326" s="8"/>
      <c r="M326" s="41"/>
      <c r="N326" s="8"/>
      <c r="O326" s="42"/>
      <c r="P326" s="42"/>
      <c r="Q326" s="42"/>
    </row>
    <row r="327" spans="1:17" ht="18.75" customHeight="1" x14ac:dyDescent="0.25">
      <c r="A327" s="9" t="s">
        <v>9</v>
      </c>
      <c r="B327" s="10">
        <v>64225</v>
      </c>
      <c r="C327" s="10" t="s">
        <v>10</v>
      </c>
      <c r="D327" s="95" t="s">
        <v>652</v>
      </c>
      <c r="E327" s="11" t="s">
        <v>653</v>
      </c>
      <c r="F327" s="39"/>
      <c r="G327" s="20"/>
      <c r="H327" s="13">
        <v>2</v>
      </c>
      <c r="I327" s="14">
        <v>0.45</v>
      </c>
      <c r="J327" s="100">
        <f t="shared" si="5"/>
        <v>91.881</v>
      </c>
    </row>
    <row r="328" spans="1:17" ht="18.75" customHeight="1" x14ac:dyDescent="0.25">
      <c r="A328" s="9" t="s">
        <v>9</v>
      </c>
      <c r="B328" s="10">
        <v>64209</v>
      </c>
      <c r="C328" s="10" t="s">
        <v>30</v>
      </c>
      <c r="D328" s="95" t="s">
        <v>498</v>
      </c>
      <c r="E328" s="11" t="s">
        <v>706</v>
      </c>
      <c r="F328" s="17"/>
      <c r="G328" s="18"/>
      <c r="H328" s="13">
        <v>2</v>
      </c>
      <c r="I328" s="14">
        <v>0.37000000000000038</v>
      </c>
      <c r="J328" s="100">
        <f t="shared" si="5"/>
        <v>75.546600000000083</v>
      </c>
    </row>
    <row r="329" spans="1:17" ht="18.75" customHeight="1" x14ac:dyDescent="0.25">
      <c r="A329" s="9" t="s">
        <v>9</v>
      </c>
      <c r="B329" s="10">
        <v>66021</v>
      </c>
      <c r="C329" s="10" t="s">
        <v>10</v>
      </c>
      <c r="D329" s="95" t="s">
        <v>707</v>
      </c>
      <c r="E329" s="11" t="s">
        <v>708</v>
      </c>
      <c r="F329" s="17"/>
      <c r="G329" s="18"/>
      <c r="H329" s="13">
        <v>2</v>
      </c>
      <c r="I329" s="14">
        <v>0.36944444444444535</v>
      </c>
      <c r="J329" s="100">
        <f t="shared" si="5"/>
        <v>75.43316666666685</v>
      </c>
    </row>
    <row r="330" spans="1:17" ht="18.75" customHeight="1" x14ac:dyDescent="0.25">
      <c r="A330" s="9" t="s">
        <v>9</v>
      </c>
      <c r="B330" s="10">
        <v>62069</v>
      </c>
      <c r="C330" s="10" t="s">
        <v>30</v>
      </c>
      <c r="D330" s="95" t="s">
        <v>521</v>
      </c>
      <c r="E330" s="11" t="s">
        <v>702</v>
      </c>
      <c r="F330" s="17" t="s">
        <v>523</v>
      </c>
      <c r="G330" s="18" t="s">
        <v>524</v>
      </c>
      <c r="H330" s="13">
        <v>2</v>
      </c>
      <c r="I330" s="14">
        <v>0.38666666666666749</v>
      </c>
      <c r="J330" s="100">
        <f t="shared" si="5"/>
        <v>78.949600000000174</v>
      </c>
    </row>
    <row r="331" spans="1:17" ht="18.75" customHeight="1" x14ac:dyDescent="0.25">
      <c r="A331" s="9" t="s">
        <v>9</v>
      </c>
      <c r="B331" s="10">
        <v>62060</v>
      </c>
      <c r="C331" s="10" t="s">
        <v>10</v>
      </c>
      <c r="D331" s="95" t="s">
        <v>320</v>
      </c>
      <c r="E331" s="11" t="s">
        <v>203</v>
      </c>
      <c r="F331" s="17" t="s">
        <v>204</v>
      </c>
      <c r="G331" s="18" t="s">
        <v>205</v>
      </c>
      <c r="H331" s="13">
        <v>6</v>
      </c>
      <c r="I331" s="14">
        <v>2.5226666666666522</v>
      </c>
      <c r="J331" s="100">
        <f t="shared" si="5"/>
        <v>515.07807999999704</v>
      </c>
    </row>
    <row r="332" spans="1:17" ht="18.75" customHeight="1" x14ac:dyDescent="0.25">
      <c r="A332" s="9" t="s">
        <v>9</v>
      </c>
      <c r="B332" s="10">
        <v>62049</v>
      </c>
      <c r="C332" s="10" t="s">
        <v>10</v>
      </c>
      <c r="D332" s="95" t="s">
        <v>714</v>
      </c>
      <c r="E332" s="11" t="s">
        <v>715</v>
      </c>
      <c r="F332" s="17" t="s">
        <v>632</v>
      </c>
      <c r="G332" s="18" t="s">
        <v>647</v>
      </c>
      <c r="H332" s="13">
        <v>2</v>
      </c>
      <c r="I332" s="14">
        <v>0.36249999999999927</v>
      </c>
      <c r="J332" s="100">
        <f t="shared" si="5"/>
        <v>74.015249999999853</v>
      </c>
    </row>
    <row r="333" spans="1:17" ht="18.75" customHeight="1" x14ac:dyDescent="0.25">
      <c r="A333" s="9" t="s">
        <v>9</v>
      </c>
      <c r="B333" s="10">
        <v>64098</v>
      </c>
      <c r="C333" s="10" t="s">
        <v>10</v>
      </c>
      <c r="D333" s="95" t="s">
        <v>716</v>
      </c>
      <c r="E333" s="11" t="s">
        <v>673</v>
      </c>
      <c r="F333" s="17" t="s">
        <v>632</v>
      </c>
      <c r="G333" s="18" t="s">
        <v>647</v>
      </c>
      <c r="H333" s="13">
        <v>2</v>
      </c>
      <c r="I333" s="14">
        <v>0.36249999999999927</v>
      </c>
      <c r="J333" s="100">
        <f t="shared" si="5"/>
        <v>74.015249999999853</v>
      </c>
    </row>
    <row r="334" spans="1:17" ht="18.75" customHeight="1" x14ac:dyDescent="0.25">
      <c r="A334" s="9" t="s">
        <v>9</v>
      </c>
      <c r="B334" s="10">
        <v>62077</v>
      </c>
      <c r="C334" s="10" t="s">
        <v>10</v>
      </c>
      <c r="D334" s="95" t="s">
        <v>542</v>
      </c>
      <c r="E334" s="11" t="s">
        <v>543</v>
      </c>
      <c r="F334" s="17"/>
      <c r="G334" s="18"/>
      <c r="H334" s="13">
        <v>2</v>
      </c>
      <c r="I334" s="14">
        <v>0.6</v>
      </c>
      <c r="J334" s="100">
        <f t="shared" si="5"/>
        <v>122.508</v>
      </c>
    </row>
    <row r="335" spans="1:17" ht="18.75" customHeight="1" x14ac:dyDescent="0.25">
      <c r="A335" s="9" t="s">
        <v>9</v>
      </c>
      <c r="B335" s="10">
        <v>62197</v>
      </c>
      <c r="C335" s="10" t="s">
        <v>10</v>
      </c>
      <c r="D335" s="95" t="s">
        <v>922</v>
      </c>
      <c r="E335" s="11" t="s">
        <v>911</v>
      </c>
      <c r="F335" s="17" t="s">
        <v>923</v>
      </c>
      <c r="G335" s="18" t="s">
        <v>924</v>
      </c>
      <c r="H335" s="13">
        <v>2</v>
      </c>
      <c r="I335" s="14">
        <v>0.15</v>
      </c>
      <c r="J335" s="100">
        <f t="shared" si="5"/>
        <v>30.626999999999999</v>
      </c>
    </row>
    <row r="336" spans="1:17" ht="18.75" customHeight="1" x14ac:dyDescent="0.25">
      <c r="A336" s="9" t="s">
        <v>9</v>
      </c>
      <c r="B336" s="10">
        <v>64225</v>
      </c>
      <c r="C336" s="10" t="s">
        <v>30</v>
      </c>
      <c r="D336" s="95" t="s">
        <v>652</v>
      </c>
      <c r="E336" s="11" t="s">
        <v>817</v>
      </c>
      <c r="F336" s="39"/>
      <c r="G336" s="20"/>
      <c r="H336" s="13">
        <v>2</v>
      </c>
      <c r="I336" s="14">
        <v>0.26999999999999996</v>
      </c>
      <c r="J336" s="100">
        <f t="shared" si="5"/>
        <v>55.128599999999992</v>
      </c>
    </row>
    <row r="337" spans="1:10" ht="18.75" customHeight="1" x14ac:dyDescent="0.25">
      <c r="A337" s="9" t="s">
        <v>9</v>
      </c>
      <c r="B337" s="10">
        <v>64234</v>
      </c>
      <c r="C337" s="10" t="s">
        <v>10</v>
      </c>
      <c r="D337" s="95" t="s">
        <v>556</v>
      </c>
      <c r="E337" s="11" t="s">
        <v>557</v>
      </c>
      <c r="F337" s="39"/>
      <c r="G337" s="20"/>
      <c r="H337" s="13">
        <v>2</v>
      </c>
      <c r="I337" s="14">
        <v>0.6</v>
      </c>
      <c r="J337" s="100">
        <f t="shared" si="5"/>
        <v>122.508</v>
      </c>
    </row>
    <row r="338" spans="1:10" ht="18.75" customHeight="1" x14ac:dyDescent="0.25">
      <c r="A338" s="9" t="s">
        <v>9</v>
      </c>
      <c r="B338" s="10">
        <v>60047</v>
      </c>
      <c r="C338" s="10" t="s">
        <v>30</v>
      </c>
      <c r="D338" s="95" t="s">
        <v>501</v>
      </c>
      <c r="E338" s="11" t="s">
        <v>755</v>
      </c>
      <c r="F338" s="17"/>
      <c r="G338" s="18"/>
      <c r="H338" s="13">
        <v>2</v>
      </c>
      <c r="I338" s="14">
        <v>0.32500000000000279</v>
      </c>
      <c r="J338" s="100">
        <f t="shared" si="5"/>
        <v>66.358500000000575</v>
      </c>
    </row>
    <row r="339" spans="1:10" ht="18.75" customHeight="1" x14ac:dyDescent="0.25">
      <c r="A339" s="9" t="s">
        <v>9</v>
      </c>
      <c r="B339" s="10">
        <v>64075</v>
      </c>
      <c r="C339" s="10" t="s">
        <v>30</v>
      </c>
      <c r="D339" s="95" t="s">
        <v>722</v>
      </c>
      <c r="E339" s="11" t="s">
        <v>723</v>
      </c>
      <c r="F339" s="17">
        <v>278</v>
      </c>
      <c r="G339" s="18" t="s">
        <v>724</v>
      </c>
      <c r="H339" s="13">
        <v>2</v>
      </c>
      <c r="I339" s="14">
        <v>0.35000000000000275</v>
      </c>
      <c r="J339" s="100">
        <f t="shared" si="5"/>
        <v>71.463000000000562</v>
      </c>
    </row>
    <row r="340" spans="1:10" ht="18.75" customHeight="1" x14ac:dyDescent="0.25">
      <c r="A340" s="9" t="s">
        <v>9</v>
      </c>
      <c r="B340" s="10">
        <v>64089</v>
      </c>
      <c r="C340" s="10" t="s">
        <v>30</v>
      </c>
      <c r="D340" s="95" t="s">
        <v>729</v>
      </c>
      <c r="E340" s="11" t="s">
        <v>852</v>
      </c>
      <c r="F340" s="17" t="s">
        <v>731</v>
      </c>
      <c r="G340" s="18" t="s">
        <v>732</v>
      </c>
      <c r="H340" s="13">
        <v>2</v>
      </c>
      <c r="I340" s="14">
        <v>0.21000000000000002</v>
      </c>
      <c r="J340" s="100">
        <f t="shared" si="5"/>
        <v>42.877800000000008</v>
      </c>
    </row>
    <row r="341" spans="1:10" ht="18.75" customHeight="1" x14ac:dyDescent="0.25">
      <c r="A341" s="9" t="s">
        <v>9</v>
      </c>
      <c r="B341" s="10">
        <v>64093</v>
      </c>
      <c r="C341" s="10" t="s">
        <v>30</v>
      </c>
      <c r="D341" s="95" t="s">
        <v>510</v>
      </c>
      <c r="E341" s="11" t="s">
        <v>649</v>
      </c>
      <c r="F341" s="17" t="s">
        <v>494</v>
      </c>
      <c r="G341" s="18" t="s">
        <v>495</v>
      </c>
      <c r="H341" s="13">
        <v>2</v>
      </c>
      <c r="I341" s="14">
        <v>0.35000000000000153</v>
      </c>
      <c r="J341" s="100">
        <f t="shared" si="5"/>
        <v>71.463000000000321</v>
      </c>
    </row>
    <row r="342" spans="1:10" ht="18.75" customHeight="1" x14ac:dyDescent="0.25">
      <c r="A342" s="9" t="s">
        <v>9</v>
      </c>
      <c r="B342" s="10">
        <v>64228</v>
      </c>
      <c r="C342" s="10" t="s">
        <v>10</v>
      </c>
      <c r="D342" s="95" t="s">
        <v>985</v>
      </c>
      <c r="E342" s="11" t="s">
        <v>986</v>
      </c>
      <c r="F342" s="17" t="s">
        <v>987</v>
      </c>
      <c r="G342" s="18" t="s">
        <v>979</v>
      </c>
      <c r="H342" s="13">
        <v>2</v>
      </c>
      <c r="I342" s="14">
        <v>3.7999999999999999E-2</v>
      </c>
      <c r="J342" s="100">
        <f t="shared" si="5"/>
        <v>7.7588400000000002</v>
      </c>
    </row>
    <row r="343" spans="1:10" ht="18.75" customHeight="1" x14ac:dyDescent="0.25">
      <c r="A343" s="9" t="s">
        <v>9</v>
      </c>
      <c r="B343" s="10">
        <v>64055</v>
      </c>
      <c r="C343" s="10" t="s">
        <v>10</v>
      </c>
      <c r="D343" s="95" t="s">
        <v>733</v>
      </c>
      <c r="E343" s="11" t="s">
        <v>734</v>
      </c>
      <c r="F343" s="17"/>
      <c r="G343" s="18"/>
      <c r="H343" s="13">
        <v>2</v>
      </c>
      <c r="I343" s="14">
        <v>0.34999999999999731</v>
      </c>
      <c r="J343" s="100">
        <f t="shared" si="5"/>
        <v>71.462999999999454</v>
      </c>
    </row>
    <row r="344" spans="1:10" ht="18.75" customHeight="1" x14ac:dyDescent="0.25">
      <c r="A344" s="9" t="s">
        <v>9</v>
      </c>
      <c r="B344" s="10">
        <v>64009</v>
      </c>
      <c r="C344" s="10" t="s">
        <v>10</v>
      </c>
      <c r="D344" s="95" t="s">
        <v>202</v>
      </c>
      <c r="E344" s="11" t="s">
        <v>203</v>
      </c>
      <c r="F344" s="17" t="s">
        <v>204</v>
      </c>
      <c r="G344" s="18" t="s">
        <v>205</v>
      </c>
      <c r="H344" s="13">
        <v>6</v>
      </c>
      <c r="I344" s="14">
        <v>4.4000000000000004</v>
      </c>
      <c r="J344" s="100">
        <f t="shared" si="5"/>
        <v>898.39200000000005</v>
      </c>
    </row>
    <row r="345" spans="1:10" ht="18.75" customHeight="1" x14ac:dyDescent="0.25">
      <c r="A345" s="9" t="s">
        <v>9</v>
      </c>
      <c r="B345" s="10">
        <v>64228</v>
      </c>
      <c r="C345" s="10" t="s">
        <v>30</v>
      </c>
      <c r="D345" s="95" t="s">
        <v>985</v>
      </c>
      <c r="E345" s="11" t="s">
        <v>1015</v>
      </c>
      <c r="F345" s="17"/>
      <c r="G345" s="18"/>
      <c r="H345" s="13">
        <v>2</v>
      </c>
      <c r="I345" s="14">
        <v>1.8619444444444425E-2</v>
      </c>
      <c r="J345" s="100">
        <f t="shared" si="5"/>
        <v>3.8017181666666628</v>
      </c>
    </row>
    <row r="346" spans="1:10" ht="18.75" customHeight="1" x14ac:dyDescent="0.25">
      <c r="A346" s="9" t="s">
        <v>9</v>
      </c>
      <c r="B346" s="10">
        <v>60113</v>
      </c>
      <c r="C346" s="10" t="s">
        <v>30</v>
      </c>
      <c r="D346" s="95" t="s">
        <v>574</v>
      </c>
      <c r="E346" s="11" t="s">
        <v>741</v>
      </c>
      <c r="F346" s="17"/>
      <c r="G346" s="18"/>
      <c r="H346" s="13">
        <v>2</v>
      </c>
      <c r="I346" s="14">
        <v>0.34000000000000197</v>
      </c>
      <c r="J346" s="100">
        <f t="shared" si="5"/>
        <v>69.421200000000411</v>
      </c>
    </row>
    <row r="347" spans="1:10" ht="18.75" customHeight="1" x14ac:dyDescent="0.25">
      <c r="A347" s="9" t="s">
        <v>9</v>
      </c>
      <c r="B347" s="10">
        <v>60108</v>
      </c>
      <c r="C347" s="10" t="s">
        <v>30</v>
      </c>
      <c r="D347" s="95" t="s">
        <v>491</v>
      </c>
      <c r="E347" s="11" t="s">
        <v>660</v>
      </c>
      <c r="F347" s="17"/>
      <c r="G347" s="18"/>
      <c r="H347" s="13">
        <v>2</v>
      </c>
      <c r="I347" s="14">
        <v>0.33999999999999997</v>
      </c>
      <c r="J347" s="100">
        <f t="shared" si="5"/>
        <v>69.421199999999999</v>
      </c>
    </row>
    <row r="348" spans="1:10" ht="18.75" customHeight="1" x14ac:dyDescent="0.25">
      <c r="A348" s="9" t="s">
        <v>9</v>
      </c>
      <c r="B348" s="10">
        <v>60046</v>
      </c>
      <c r="C348" s="10" t="s">
        <v>10</v>
      </c>
      <c r="D348" s="95" t="s">
        <v>597</v>
      </c>
      <c r="E348" s="11" t="s">
        <v>598</v>
      </c>
      <c r="F348" s="17" t="s">
        <v>599</v>
      </c>
      <c r="G348" s="18" t="s">
        <v>600</v>
      </c>
      <c r="H348" s="13">
        <v>2</v>
      </c>
      <c r="I348" s="14">
        <v>0.50000000000000133</v>
      </c>
      <c r="J348" s="100">
        <f t="shared" si="5"/>
        <v>102.09000000000027</v>
      </c>
    </row>
    <row r="349" spans="1:10" ht="18.75" customHeight="1" x14ac:dyDescent="0.25">
      <c r="A349" s="9" t="s">
        <v>9</v>
      </c>
      <c r="B349" s="10">
        <v>60500</v>
      </c>
      <c r="C349" s="10" t="s">
        <v>10</v>
      </c>
      <c r="D349" s="95" t="s">
        <v>745</v>
      </c>
      <c r="E349" s="11" t="s">
        <v>746</v>
      </c>
      <c r="F349" s="11" t="s">
        <v>159</v>
      </c>
      <c r="G349" s="12" t="s">
        <v>160</v>
      </c>
      <c r="H349" s="13">
        <v>3</v>
      </c>
      <c r="I349" s="14">
        <v>0.39666666666666944</v>
      </c>
      <c r="J349" s="100">
        <f t="shared" si="5"/>
        <v>80.991400000000567</v>
      </c>
    </row>
    <row r="350" spans="1:10" ht="18.75" customHeight="1" x14ac:dyDescent="0.25">
      <c r="A350" s="9" t="s">
        <v>9</v>
      </c>
      <c r="B350" s="10">
        <v>64073</v>
      </c>
      <c r="C350" s="10" t="s">
        <v>10</v>
      </c>
      <c r="D350" s="95" t="s">
        <v>747</v>
      </c>
      <c r="E350" s="11" t="s">
        <v>748</v>
      </c>
      <c r="F350" s="17"/>
      <c r="G350" s="18"/>
      <c r="H350" s="13">
        <v>2</v>
      </c>
      <c r="I350" s="14">
        <v>0.33125000000000027</v>
      </c>
      <c r="J350" s="100">
        <f t="shared" si="5"/>
        <v>67.634625000000057</v>
      </c>
    </row>
    <row r="351" spans="1:10" ht="18.75" customHeight="1" x14ac:dyDescent="0.25">
      <c r="A351" s="9" t="s">
        <v>9</v>
      </c>
      <c r="B351" s="10">
        <v>64072</v>
      </c>
      <c r="C351" s="10" t="s">
        <v>10</v>
      </c>
      <c r="D351" s="95" t="s">
        <v>749</v>
      </c>
      <c r="E351" s="11" t="s">
        <v>750</v>
      </c>
      <c r="F351" s="17" t="s">
        <v>751</v>
      </c>
      <c r="G351" s="18"/>
      <c r="H351" s="13">
        <v>2</v>
      </c>
      <c r="I351" s="14">
        <v>0.33125000000000027</v>
      </c>
      <c r="J351" s="100">
        <f t="shared" si="5"/>
        <v>67.634625000000057</v>
      </c>
    </row>
    <row r="352" spans="1:10" ht="18.75" customHeight="1" x14ac:dyDescent="0.25">
      <c r="A352" s="9" t="s">
        <v>9</v>
      </c>
      <c r="B352" s="10">
        <v>61700</v>
      </c>
      <c r="C352" s="10" t="s">
        <v>10</v>
      </c>
      <c r="D352" s="95" t="s">
        <v>752</v>
      </c>
      <c r="E352" s="11" t="s">
        <v>753</v>
      </c>
      <c r="F352" s="11" t="s">
        <v>159</v>
      </c>
      <c r="G352" s="12" t="s">
        <v>160</v>
      </c>
      <c r="H352" s="13">
        <v>3</v>
      </c>
      <c r="I352" s="14">
        <v>0.38894380000000162</v>
      </c>
      <c r="J352" s="100">
        <f t="shared" si="5"/>
        <v>79.414545084000338</v>
      </c>
    </row>
    <row r="353" spans="1:17" ht="18.75" customHeight="1" x14ac:dyDescent="0.25">
      <c r="A353" s="9" t="s">
        <v>9</v>
      </c>
      <c r="B353" s="10">
        <v>62197</v>
      </c>
      <c r="C353" s="10" t="s">
        <v>30</v>
      </c>
      <c r="D353" s="95" t="s">
        <v>922</v>
      </c>
      <c r="E353" s="11" t="s">
        <v>949</v>
      </c>
      <c r="F353" s="17" t="s">
        <v>923</v>
      </c>
      <c r="G353" s="18" t="s">
        <v>924</v>
      </c>
      <c r="H353" s="13">
        <v>2</v>
      </c>
      <c r="I353" s="14">
        <v>0.09</v>
      </c>
      <c r="J353" s="100">
        <f t="shared" si="5"/>
        <v>18.376200000000001</v>
      </c>
    </row>
    <row r="354" spans="1:17" ht="18.75" customHeight="1" x14ac:dyDescent="0.25">
      <c r="A354" s="9" t="s">
        <v>9</v>
      </c>
      <c r="B354" s="10">
        <v>60046</v>
      </c>
      <c r="C354" s="10" t="s">
        <v>30</v>
      </c>
      <c r="D354" s="95" t="s">
        <v>597</v>
      </c>
      <c r="E354" s="11" t="s">
        <v>721</v>
      </c>
      <c r="F354" s="17" t="s">
        <v>683</v>
      </c>
      <c r="G354" s="18" t="s">
        <v>684</v>
      </c>
      <c r="H354" s="13">
        <v>2</v>
      </c>
      <c r="I354" s="14">
        <v>0.35000000000000647</v>
      </c>
      <c r="J354" s="100">
        <f t="shared" si="5"/>
        <v>71.46300000000133</v>
      </c>
    </row>
    <row r="355" spans="1:17" ht="18.75" customHeight="1" x14ac:dyDescent="0.25">
      <c r="A355" s="9" t="s">
        <v>9</v>
      </c>
      <c r="B355" s="10">
        <v>60038</v>
      </c>
      <c r="C355" s="10" t="s">
        <v>10</v>
      </c>
      <c r="D355" s="95" t="s">
        <v>725</v>
      </c>
      <c r="E355" s="11" t="s">
        <v>726</v>
      </c>
      <c r="F355" s="17" t="s">
        <v>727</v>
      </c>
      <c r="G355" s="18" t="s">
        <v>728</v>
      </c>
      <c r="H355" s="13">
        <v>2</v>
      </c>
      <c r="I355" s="14">
        <v>0.35000000000000153</v>
      </c>
      <c r="J355" s="100">
        <f t="shared" si="5"/>
        <v>71.463000000000321</v>
      </c>
    </row>
    <row r="356" spans="1:17" ht="18.75" customHeight="1" x14ac:dyDescent="0.25">
      <c r="A356" s="9" t="s">
        <v>9</v>
      </c>
      <c r="B356" s="10">
        <v>62152</v>
      </c>
      <c r="C356" s="10" t="s">
        <v>10</v>
      </c>
      <c r="D356" s="95" t="s">
        <v>601</v>
      </c>
      <c r="E356" s="11" t="s">
        <v>602</v>
      </c>
      <c r="F356" s="17" t="s">
        <v>599</v>
      </c>
      <c r="G356" s="18" t="s">
        <v>600</v>
      </c>
      <c r="H356" s="13">
        <v>2</v>
      </c>
      <c r="I356" s="14">
        <v>0.50000000000000133</v>
      </c>
      <c r="J356" s="100">
        <f t="shared" si="5"/>
        <v>102.09000000000027</v>
      </c>
    </row>
    <row r="357" spans="1:17" ht="18.75" customHeight="1" x14ac:dyDescent="0.25">
      <c r="A357" s="9" t="s">
        <v>9</v>
      </c>
      <c r="B357" s="10">
        <v>62152</v>
      </c>
      <c r="C357" s="10" t="s">
        <v>30</v>
      </c>
      <c r="D357" s="95" t="s">
        <v>601</v>
      </c>
      <c r="E357" s="11" t="s">
        <v>682</v>
      </c>
      <c r="F357" s="17" t="s">
        <v>683</v>
      </c>
      <c r="G357" s="18" t="s">
        <v>684</v>
      </c>
      <c r="H357" s="13">
        <v>2</v>
      </c>
      <c r="I357" s="14">
        <v>0.4000000000000023</v>
      </c>
      <c r="J357" s="100">
        <f t="shared" si="5"/>
        <v>81.672000000000466</v>
      </c>
    </row>
    <row r="358" spans="1:17" ht="18.75" customHeight="1" x14ac:dyDescent="0.25">
      <c r="A358" s="9" t="s">
        <v>9</v>
      </c>
      <c r="B358" s="10">
        <v>60072</v>
      </c>
      <c r="C358" s="10" t="s">
        <v>10</v>
      </c>
      <c r="D358" s="95" t="s">
        <v>900</v>
      </c>
      <c r="E358" s="11" t="s">
        <v>901</v>
      </c>
      <c r="F358" s="17" t="s">
        <v>902</v>
      </c>
      <c r="G358" s="18" t="s">
        <v>903</v>
      </c>
      <c r="H358" s="13">
        <v>2</v>
      </c>
      <c r="I358" s="14">
        <v>0.15</v>
      </c>
      <c r="J358" s="100">
        <f t="shared" si="5"/>
        <v>30.626999999999999</v>
      </c>
    </row>
    <row r="359" spans="1:17" ht="18.75" customHeight="1" x14ac:dyDescent="0.25">
      <c r="A359" s="9" t="s">
        <v>9</v>
      </c>
      <c r="B359" s="10">
        <v>62179</v>
      </c>
      <c r="C359" s="10" t="s">
        <v>10</v>
      </c>
      <c r="D359" s="95" t="s">
        <v>766</v>
      </c>
      <c r="E359" s="11" t="s">
        <v>767</v>
      </c>
      <c r="F359" s="21" t="s">
        <v>768</v>
      </c>
      <c r="G359" s="12" t="s">
        <v>769</v>
      </c>
      <c r="H359" s="13">
        <v>2</v>
      </c>
      <c r="I359" s="14">
        <v>0.30000000000000149</v>
      </c>
      <c r="J359" s="100">
        <f t="shared" si="5"/>
        <v>61.254000000000303</v>
      </c>
    </row>
    <row r="360" spans="1:17" ht="18.75" customHeight="1" x14ac:dyDescent="0.25">
      <c r="A360" s="9" t="s">
        <v>9</v>
      </c>
      <c r="B360" s="10">
        <v>62132</v>
      </c>
      <c r="C360" s="10" t="s">
        <v>10</v>
      </c>
      <c r="D360" s="95" t="s">
        <v>626</v>
      </c>
      <c r="E360" s="11" t="s">
        <v>627</v>
      </c>
      <c r="F360" s="17"/>
      <c r="G360" s="18"/>
      <c r="H360" s="13">
        <v>2</v>
      </c>
      <c r="I360" s="14">
        <v>0.483333333333335</v>
      </c>
      <c r="J360" s="100">
        <f t="shared" si="5"/>
        <v>98.687000000000339</v>
      </c>
    </row>
    <row r="361" spans="1:17" ht="18.75" customHeight="1" x14ac:dyDescent="0.25">
      <c r="A361" s="9" t="s">
        <v>9</v>
      </c>
      <c r="B361" s="10">
        <v>62002</v>
      </c>
      <c r="C361" s="10" t="s">
        <v>10</v>
      </c>
      <c r="D361" s="95" t="s">
        <v>774</v>
      </c>
      <c r="E361" s="11" t="s">
        <v>775</v>
      </c>
      <c r="F361" s="17" t="s">
        <v>776</v>
      </c>
      <c r="G361" s="18" t="s">
        <v>777</v>
      </c>
      <c r="H361" s="13">
        <v>2</v>
      </c>
      <c r="I361" s="14">
        <v>0.3</v>
      </c>
      <c r="J361" s="100">
        <f t="shared" si="5"/>
        <v>61.253999999999998</v>
      </c>
    </row>
    <row r="362" spans="1:17" ht="18.75" customHeight="1" x14ac:dyDescent="0.25">
      <c r="A362" s="9" t="s">
        <v>9</v>
      </c>
      <c r="B362" s="10">
        <v>62002</v>
      </c>
      <c r="C362" s="10" t="s">
        <v>30</v>
      </c>
      <c r="D362" s="95" t="s">
        <v>774</v>
      </c>
      <c r="E362" s="11" t="s">
        <v>778</v>
      </c>
      <c r="F362" s="17" t="s">
        <v>776</v>
      </c>
      <c r="G362" s="18" t="s">
        <v>777</v>
      </c>
      <c r="H362" s="13">
        <v>2</v>
      </c>
      <c r="I362" s="14">
        <v>0.3</v>
      </c>
      <c r="J362" s="100">
        <f t="shared" si="5"/>
        <v>61.253999999999998</v>
      </c>
    </row>
    <row r="363" spans="1:17" ht="18.75" customHeight="1" x14ac:dyDescent="0.25">
      <c r="A363" s="9" t="s">
        <v>9</v>
      </c>
      <c r="B363" s="10">
        <v>62148</v>
      </c>
      <c r="C363" s="10" t="s">
        <v>10</v>
      </c>
      <c r="D363" s="95" t="s">
        <v>779</v>
      </c>
      <c r="E363" s="11" t="s">
        <v>780</v>
      </c>
      <c r="F363" s="17"/>
      <c r="G363" s="18"/>
      <c r="H363" s="13">
        <v>2</v>
      </c>
      <c r="I363" s="14">
        <v>0.3</v>
      </c>
      <c r="J363" s="100">
        <f t="shared" si="5"/>
        <v>61.253999999999998</v>
      </c>
    </row>
    <row r="364" spans="1:17" ht="18.75" customHeight="1" x14ac:dyDescent="0.25">
      <c r="A364" s="9" t="s">
        <v>9</v>
      </c>
      <c r="B364" s="10">
        <v>60072</v>
      </c>
      <c r="C364" s="10" t="s">
        <v>30</v>
      </c>
      <c r="D364" s="95" t="s">
        <v>900</v>
      </c>
      <c r="E364" s="11" t="s">
        <v>947</v>
      </c>
      <c r="F364" s="17"/>
      <c r="G364" s="18"/>
      <c r="H364" s="13">
        <v>2</v>
      </c>
      <c r="I364" s="14">
        <v>0.09</v>
      </c>
      <c r="J364" s="100">
        <f t="shared" si="5"/>
        <v>18.376200000000001</v>
      </c>
    </row>
    <row r="365" spans="1:17" ht="18.75" customHeight="1" x14ac:dyDescent="0.25">
      <c r="A365" s="9" t="s">
        <v>9</v>
      </c>
      <c r="B365" s="10">
        <v>62199</v>
      </c>
      <c r="C365" s="10" t="s">
        <v>10</v>
      </c>
      <c r="D365" s="95" t="s">
        <v>910</v>
      </c>
      <c r="E365" s="11" t="s">
        <v>911</v>
      </c>
      <c r="F365" s="17" t="s">
        <v>912</v>
      </c>
      <c r="G365" s="18"/>
      <c r="H365" s="13">
        <v>2</v>
      </c>
      <c r="I365" s="14">
        <v>0.15</v>
      </c>
      <c r="J365" s="100">
        <f t="shared" si="5"/>
        <v>30.626999999999999</v>
      </c>
    </row>
    <row r="366" spans="1:17" ht="18.75" customHeight="1" x14ac:dyDescent="0.25">
      <c r="A366" s="9" t="s">
        <v>9</v>
      </c>
      <c r="B366" s="10">
        <v>62199</v>
      </c>
      <c r="C366" s="10" t="s">
        <v>30</v>
      </c>
      <c r="D366" s="95" t="s">
        <v>910</v>
      </c>
      <c r="E366" s="11" t="s">
        <v>949</v>
      </c>
      <c r="F366" s="17" t="s">
        <v>912</v>
      </c>
      <c r="G366" s="18"/>
      <c r="H366" s="13">
        <v>2</v>
      </c>
      <c r="I366" s="14">
        <v>0.09</v>
      </c>
      <c r="J366" s="100">
        <f t="shared" si="5"/>
        <v>18.376200000000001</v>
      </c>
    </row>
    <row r="367" spans="1:17" ht="18.75" customHeight="1" x14ac:dyDescent="0.25">
      <c r="A367" s="9" t="s">
        <v>9</v>
      </c>
      <c r="B367" s="10">
        <v>62205</v>
      </c>
      <c r="C367" s="10" t="s">
        <v>10</v>
      </c>
      <c r="D367" s="95" t="s">
        <v>913</v>
      </c>
      <c r="E367" s="11" t="s">
        <v>901</v>
      </c>
      <c r="F367" s="17" t="s">
        <v>912</v>
      </c>
      <c r="G367" s="18" t="s">
        <v>914</v>
      </c>
      <c r="H367" s="13">
        <v>2</v>
      </c>
      <c r="I367" s="14">
        <v>0.15</v>
      </c>
      <c r="J367" s="100">
        <f t="shared" si="5"/>
        <v>30.626999999999999</v>
      </c>
    </row>
    <row r="368" spans="1:17" ht="18.75" customHeight="1" x14ac:dyDescent="0.25">
      <c r="A368" s="9" t="s">
        <v>9</v>
      </c>
      <c r="B368" s="10">
        <v>60038</v>
      </c>
      <c r="C368" s="10" t="s">
        <v>30</v>
      </c>
      <c r="D368" s="95" t="s">
        <v>725</v>
      </c>
      <c r="E368" s="11" t="s">
        <v>859</v>
      </c>
      <c r="F368" s="17" t="s">
        <v>727</v>
      </c>
      <c r="G368" s="18" t="s">
        <v>728</v>
      </c>
      <c r="H368" s="13">
        <v>2</v>
      </c>
      <c r="I368" s="14">
        <v>0.19999999999999901</v>
      </c>
      <c r="J368" s="100">
        <f t="shared" si="5"/>
        <v>40.8359999999998</v>
      </c>
      <c r="L368" s="8"/>
      <c r="M368" s="41"/>
      <c r="N368" s="8"/>
      <c r="O368" s="42"/>
      <c r="P368" s="42"/>
      <c r="Q368" s="42"/>
    </row>
    <row r="369" spans="1:10" ht="18.75" customHeight="1" x14ac:dyDescent="0.25">
      <c r="A369" s="9" t="s">
        <v>9</v>
      </c>
      <c r="B369" s="10">
        <v>62205</v>
      </c>
      <c r="C369" s="10" t="s">
        <v>30</v>
      </c>
      <c r="D369" s="95" t="s">
        <v>913</v>
      </c>
      <c r="E369" s="11" t="s">
        <v>947</v>
      </c>
      <c r="F369" s="17" t="s">
        <v>912</v>
      </c>
      <c r="G369" s="18" t="s">
        <v>914</v>
      </c>
      <c r="H369" s="13">
        <v>2</v>
      </c>
      <c r="I369" s="14">
        <v>0.09</v>
      </c>
      <c r="J369" s="100">
        <f t="shared" si="5"/>
        <v>18.376200000000001</v>
      </c>
    </row>
    <row r="370" spans="1:10" ht="18.75" customHeight="1" x14ac:dyDescent="0.25">
      <c r="A370" s="9" t="s">
        <v>9</v>
      </c>
      <c r="B370" s="10">
        <v>64234</v>
      </c>
      <c r="C370" s="10" t="s">
        <v>30</v>
      </c>
      <c r="D370" s="95" t="s">
        <v>556</v>
      </c>
      <c r="E370" s="11" t="s">
        <v>720</v>
      </c>
      <c r="F370" s="39"/>
      <c r="G370" s="20"/>
      <c r="H370" s="13">
        <v>2</v>
      </c>
      <c r="I370" s="14">
        <v>0.36</v>
      </c>
      <c r="J370" s="100">
        <f t="shared" si="5"/>
        <v>73.504800000000003</v>
      </c>
    </row>
    <row r="371" spans="1:10" ht="18.75" customHeight="1" x14ac:dyDescent="0.25">
      <c r="A371" s="9" t="s">
        <v>9</v>
      </c>
      <c r="B371" s="10">
        <v>62106</v>
      </c>
      <c r="C371" s="10" t="s">
        <v>10</v>
      </c>
      <c r="D371" s="95" t="s">
        <v>735</v>
      </c>
      <c r="E371" s="11" t="s">
        <v>736</v>
      </c>
      <c r="F371" s="17" t="s">
        <v>737</v>
      </c>
      <c r="G371" s="18" t="s">
        <v>738</v>
      </c>
      <c r="H371" s="13">
        <v>2</v>
      </c>
      <c r="I371" s="14">
        <v>0.34999999999999148</v>
      </c>
      <c r="J371" s="100">
        <f t="shared" si="5"/>
        <v>71.46299999999826</v>
      </c>
    </row>
    <row r="372" spans="1:10" ht="18.75" customHeight="1" x14ac:dyDescent="0.25">
      <c r="A372" s="9" t="s">
        <v>9</v>
      </c>
      <c r="B372" s="10">
        <v>60049</v>
      </c>
      <c r="C372" s="10" t="s">
        <v>10</v>
      </c>
      <c r="D372" s="95" t="s">
        <v>658</v>
      </c>
      <c r="E372" s="11" t="s">
        <v>659</v>
      </c>
      <c r="F372" s="17"/>
      <c r="G372" s="18"/>
      <c r="H372" s="13">
        <v>2</v>
      </c>
      <c r="I372" s="14">
        <v>0.44285714285713978</v>
      </c>
      <c r="J372" s="100">
        <f t="shared" si="5"/>
        <v>90.422571428570805</v>
      </c>
    </row>
    <row r="373" spans="1:10" ht="18.75" customHeight="1" x14ac:dyDescent="0.25">
      <c r="A373" s="9" t="s">
        <v>9</v>
      </c>
      <c r="B373" s="10">
        <v>64099</v>
      </c>
      <c r="C373" s="10" t="s">
        <v>10</v>
      </c>
      <c r="D373" s="95" t="s">
        <v>797</v>
      </c>
      <c r="E373" s="11" t="s">
        <v>798</v>
      </c>
      <c r="F373" s="17"/>
      <c r="G373" s="18"/>
      <c r="H373" s="13">
        <v>2</v>
      </c>
      <c r="I373" s="14">
        <v>0.29999999999999871</v>
      </c>
      <c r="J373" s="100">
        <f t="shared" si="5"/>
        <v>61.253999999999742</v>
      </c>
    </row>
    <row r="374" spans="1:10" ht="18.75" customHeight="1" x14ac:dyDescent="0.25">
      <c r="A374" s="9" t="s">
        <v>9</v>
      </c>
      <c r="B374" s="10">
        <v>62207</v>
      </c>
      <c r="C374" s="10" t="s">
        <v>10</v>
      </c>
      <c r="D374" s="95" t="s">
        <v>829</v>
      </c>
      <c r="E374" s="11" t="s">
        <v>830</v>
      </c>
      <c r="F374" s="17" t="s">
        <v>801</v>
      </c>
      <c r="G374" s="20" t="s">
        <v>802</v>
      </c>
      <c r="H374" s="13">
        <v>2</v>
      </c>
      <c r="I374" s="14">
        <v>0.25</v>
      </c>
      <c r="J374" s="100">
        <f t="shared" si="5"/>
        <v>51.045000000000002</v>
      </c>
    </row>
    <row r="375" spans="1:10" ht="18.75" customHeight="1" x14ac:dyDescent="0.25">
      <c r="A375" s="9" t="s">
        <v>9</v>
      </c>
      <c r="B375" s="10">
        <v>62193</v>
      </c>
      <c r="C375" s="10" t="s">
        <v>30</v>
      </c>
      <c r="D375" s="95" t="s">
        <v>103</v>
      </c>
      <c r="E375" s="11" t="s">
        <v>277</v>
      </c>
      <c r="F375" s="17"/>
      <c r="G375" s="18"/>
      <c r="H375" s="13">
        <v>3</v>
      </c>
      <c r="I375" s="14">
        <v>1.9821999999999989</v>
      </c>
      <c r="J375" s="100">
        <f t="shared" si="5"/>
        <v>404.72559599999977</v>
      </c>
    </row>
    <row r="376" spans="1:10" ht="18.75" customHeight="1" x14ac:dyDescent="0.25">
      <c r="A376" s="9" t="s">
        <v>9</v>
      </c>
      <c r="B376" s="10">
        <v>62049</v>
      </c>
      <c r="C376" s="10" t="s">
        <v>30</v>
      </c>
      <c r="D376" s="95" t="s">
        <v>714</v>
      </c>
      <c r="E376" s="11" t="s">
        <v>646</v>
      </c>
      <c r="F376" s="17" t="s">
        <v>632</v>
      </c>
      <c r="G376" s="18" t="s">
        <v>647</v>
      </c>
      <c r="H376" s="13">
        <v>2</v>
      </c>
      <c r="I376" s="14">
        <v>0.29999999999999399</v>
      </c>
      <c r="J376" s="100">
        <f t="shared" si="5"/>
        <v>61.253999999998776</v>
      </c>
    </row>
    <row r="377" spans="1:10" ht="18.75" customHeight="1" x14ac:dyDescent="0.25">
      <c r="A377" s="9" t="s">
        <v>9</v>
      </c>
      <c r="B377" s="10">
        <v>62256</v>
      </c>
      <c r="C377" s="10" t="s">
        <v>30</v>
      </c>
      <c r="D377" s="95" t="s">
        <v>854</v>
      </c>
      <c r="E377" s="11" t="s">
        <v>855</v>
      </c>
      <c r="F377" s="17"/>
      <c r="G377" s="18"/>
      <c r="H377" s="13">
        <v>2</v>
      </c>
      <c r="I377" s="14">
        <v>0.20000000000000173</v>
      </c>
      <c r="J377" s="100">
        <f t="shared" si="5"/>
        <v>40.836000000000354</v>
      </c>
    </row>
    <row r="378" spans="1:10" ht="18.75" customHeight="1" x14ac:dyDescent="0.25">
      <c r="A378" s="9" t="s">
        <v>9</v>
      </c>
      <c r="B378" s="10">
        <v>60049</v>
      </c>
      <c r="C378" s="10" t="s">
        <v>30</v>
      </c>
      <c r="D378" s="95" t="s">
        <v>658</v>
      </c>
      <c r="E378" s="11" t="s">
        <v>805</v>
      </c>
      <c r="F378" s="17"/>
      <c r="G378" s="18"/>
      <c r="H378" s="13">
        <v>2</v>
      </c>
      <c r="I378" s="14">
        <v>0.28000000000000058</v>
      </c>
      <c r="J378" s="100">
        <f t="shared" si="5"/>
        <v>57.170400000000122</v>
      </c>
    </row>
    <row r="379" spans="1:10" ht="18.75" customHeight="1" x14ac:dyDescent="0.25">
      <c r="A379" s="9" t="s">
        <v>9</v>
      </c>
      <c r="B379" s="10">
        <v>62077</v>
      </c>
      <c r="C379" s="10" t="s">
        <v>30</v>
      </c>
      <c r="D379" s="95" t="s">
        <v>542</v>
      </c>
      <c r="E379" s="11" t="s">
        <v>717</v>
      </c>
      <c r="F379" s="17"/>
      <c r="G379" s="18"/>
      <c r="H379" s="13">
        <v>2</v>
      </c>
      <c r="I379" s="14">
        <v>0.36</v>
      </c>
      <c r="J379" s="100">
        <f t="shared" si="5"/>
        <v>73.504800000000003</v>
      </c>
    </row>
    <row r="380" spans="1:10" ht="18.75" customHeight="1" x14ac:dyDescent="0.25">
      <c r="A380" s="9" t="s">
        <v>9</v>
      </c>
      <c r="B380" s="10">
        <v>60003</v>
      </c>
      <c r="C380" s="10" t="s">
        <v>10</v>
      </c>
      <c r="D380" s="95" t="s">
        <v>808</v>
      </c>
      <c r="E380" s="11" t="s">
        <v>809</v>
      </c>
      <c r="F380" s="17"/>
      <c r="G380" s="18"/>
      <c r="H380" s="13">
        <v>3</v>
      </c>
      <c r="I380" s="14">
        <v>0.33286944444444411</v>
      </c>
      <c r="J380" s="100">
        <f t="shared" si="5"/>
        <v>67.965283166666595</v>
      </c>
    </row>
    <row r="381" spans="1:10" ht="18.75" customHeight="1" x14ac:dyDescent="0.25">
      <c r="A381" s="9" t="s">
        <v>9</v>
      </c>
      <c r="B381" s="10">
        <v>64037</v>
      </c>
      <c r="C381" s="10" t="s">
        <v>10</v>
      </c>
      <c r="D381" s="95" t="s">
        <v>894</v>
      </c>
      <c r="E381" s="11" t="s">
        <v>890</v>
      </c>
      <c r="F381" s="17" t="s">
        <v>895</v>
      </c>
      <c r="G381" s="18">
        <v>0</v>
      </c>
      <c r="H381" s="13">
        <v>2</v>
      </c>
      <c r="I381" s="14">
        <v>0.16944444444444071</v>
      </c>
      <c r="J381" s="100">
        <f t="shared" si="5"/>
        <v>34.597166666665906</v>
      </c>
    </row>
    <row r="382" spans="1:10" ht="18.75" customHeight="1" x14ac:dyDescent="0.25">
      <c r="A382" s="9" t="s">
        <v>9</v>
      </c>
      <c r="B382" s="10">
        <v>64045</v>
      </c>
      <c r="C382" s="10" t="s">
        <v>10</v>
      </c>
      <c r="D382" s="95" t="s">
        <v>893</v>
      </c>
      <c r="E382" s="11" t="s">
        <v>890</v>
      </c>
      <c r="F382" s="17" t="s">
        <v>891</v>
      </c>
      <c r="G382" s="18">
        <v>0</v>
      </c>
      <c r="H382" s="13">
        <v>2</v>
      </c>
      <c r="I382" s="14">
        <v>0.17606837606837644</v>
      </c>
      <c r="J382" s="100">
        <f t="shared" si="5"/>
        <v>35.9496410256411</v>
      </c>
    </row>
    <row r="383" spans="1:10" ht="18.75" customHeight="1" x14ac:dyDescent="0.25">
      <c r="A383" s="9" t="s">
        <v>9</v>
      </c>
      <c r="B383" s="10">
        <v>64226</v>
      </c>
      <c r="C383" s="10" t="s">
        <v>10</v>
      </c>
      <c r="D383" s="95" t="s">
        <v>554</v>
      </c>
      <c r="E383" s="11" t="s">
        <v>555</v>
      </c>
      <c r="F383" s="39"/>
      <c r="G383" s="20"/>
      <c r="H383" s="13">
        <v>2</v>
      </c>
      <c r="I383" s="14">
        <v>0.6</v>
      </c>
      <c r="J383" s="100">
        <f t="shared" si="5"/>
        <v>122.508</v>
      </c>
    </row>
    <row r="384" spans="1:10" ht="18.75" customHeight="1" x14ac:dyDescent="0.25">
      <c r="A384" s="9" t="s">
        <v>9</v>
      </c>
      <c r="B384" s="10">
        <v>64226</v>
      </c>
      <c r="C384" s="10" t="s">
        <v>30</v>
      </c>
      <c r="D384" s="95" t="s">
        <v>554</v>
      </c>
      <c r="E384" s="11" t="s">
        <v>719</v>
      </c>
      <c r="F384" s="39"/>
      <c r="G384" s="20"/>
      <c r="H384" s="13">
        <v>2</v>
      </c>
      <c r="I384" s="14">
        <v>0.36</v>
      </c>
      <c r="J384" s="100">
        <f t="shared" si="5"/>
        <v>73.504800000000003</v>
      </c>
    </row>
    <row r="385" spans="1:10" ht="18.75" customHeight="1" x14ac:dyDescent="0.25">
      <c r="A385" s="9" t="s">
        <v>9</v>
      </c>
      <c r="B385" s="94">
        <v>60040</v>
      </c>
      <c r="C385" s="94" t="s">
        <v>10</v>
      </c>
      <c r="D385" s="95" t="s">
        <v>703</v>
      </c>
      <c r="E385" s="11" t="s">
        <v>704</v>
      </c>
      <c r="F385" s="17" t="s">
        <v>705</v>
      </c>
      <c r="G385" s="18"/>
      <c r="H385" s="13">
        <v>2</v>
      </c>
      <c r="I385" s="14">
        <v>0.38281250000000117</v>
      </c>
      <c r="J385" s="100">
        <f t="shared" si="5"/>
        <v>78.162656250000239</v>
      </c>
    </row>
    <row r="386" spans="1:10" ht="18.75" customHeight="1" x14ac:dyDescent="0.25">
      <c r="A386" s="9" t="s">
        <v>9</v>
      </c>
      <c r="B386" s="10">
        <v>60054</v>
      </c>
      <c r="C386" s="10" t="s">
        <v>10</v>
      </c>
      <c r="D386" s="95" t="s">
        <v>696</v>
      </c>
      <c r="E386" s="11" t="s">
        <v>697</v>
      </c>
      <c r="F386" s="17" t="s">
        <v>698</v>
      </c>
      <c r="G386" s="18" t="s">
        <v>699</v>
      </c>
      <c r="H386" s="13">
        <v>2</v>
      </c>
      <c r="I386" s="14">
        <v>0.39736842105263115</v>
      </c>
      <c r="J386" s="100">
        <f t="shared" si="5"/>
        <v>81.134684210526231</v>
      </c>
    </row>
    <row r="387" spans="1:10" ht="18.75" customHeight="1" x14ac:dyDescent="0.25">
      <c r="A387" s="9" t="s">
        <v>9</v>
      </c>
      <c r="B387" s="10">
        <v>62107</v>
      </c>
      <c r="C387" s="10" t="s">
        <v>10</v>
      </c>
      <c r="D387" s="95" t="s">
        <v>713</v>
      </c>
      <c r="E387" s="11" t="s">
        <v>637</v>
      </c>
      <c r="F387" s="17"/>
      <c r="G387" s="18"/>
      <c r="H387" s="13">
        <v>2</v>
      </c>
      <c r="I387" s="14">
        <v>0.3624999999999996</v>
      </c>
      <c r="J387" s="100">
        <f t="shared" ref="J387:J450" si="6">I387*204.18</f>
        <v>74.015249999999924</v>
      </c>
    </row>
    <row r="388" spans="1:10" ht="18.75" customHeight="1" x14ac:dyDescent="0.25">
      <c r="A388" s="9" t="s">
        <v>9</v>
      </c>
      <c r="B388" s="10">
        <v>60054</v>
      </c>
      <c r="C388" s="10" t="s">
        <v>30</v>
      </c>
      <c r="D388" s="95" t="s">
        <v>696</v>
      </c>
      <c r="E388" s="11" t="s">
        <v>839</v>
      </c>
      <c r="F388" s="17" t="s">
        <v>840</v>
      </c>
      <c r="G388" s="18" t="s">
        <v>841</v>
      </c>
      <c r="H388" s="13">
        <v>2</v>
      </c>
      <c r="I388" s="14">
        <v>0.2400000000000076</v>
      </c>
      <c r="J388" s="100">
        <f t="shared" si="6"/>
        <v>49.003200000001556</v>
      </c>
    </row>
    <row r="389" spans="1:10" ht="18.75" customHeight="1" x14ac:dyDescent="0.25">
      <c r="A389" s="9" t="s">
        <v>9</v>
      </c>
      <c r="B389" s="10">
        <v>62162</v>
      </c>
      <c r="C389" s="10" t="s">
        <v>10</v>
      </c>
      <c r="D389" s="95" t="s">
        <v>661</v>
      </c>
      <c r="E389" s="11" t="s">
        <v>662</v>
      </c>
      <c r="F389" s="17"/>
      <c r="G389" s="18"/>
      <c r="H389" s="13">
        <v>2</v>
      </c>
      <c r="I389" s="14">
        <v>0.43333333333333401</v>
      </c>
      <c r="J389" s="100">
        <f t="shared" si="6"/>
        <v>88.478000000000137</v>
      </c>
    </row>
    <row r="390" spans="1:10" ht="18.75" customHeight="1" x14ac:dyDescent="0.25">
      <c r="A390" s="9" t="s">
        <v>9</v>
      </c>
      <c r="B390" s="10">
        <v>62207</v>
      </c>
      <c r="C390" s="10" t="s">
        <v>30</v>
      </c>
      <c r="D390" s="95" t="s">
        <v>829</v>
      </c>
      <c r="E390" s="11" t="s">
        <v>915</v>
      </c>
      <c r="F390" s="17" t="s">
        <v>801</v>
      </c>
      <c r="G390" s="20" t="s">
        <v>802</v>
      </c>
      <c r="H390" s="13">
        <v>2</v>
      </c>
      <c r="I390" s="14">
        <v>0.15</v>
      </c>
      <c r="J390" s="100">
        <f t="shared" si="6"/>
        <v>30.626999999999999</v>
      </c>
    </row>
    <row r="391" spans="1:10" ht="18.75" customHeight="1" x14ac:dyDescent="0.25">
      <c r="A391" s="9" t="s">
        <v>9</v>
      </c>
      <c r="B391" s="10">
        <v>62211</v>
      </c>
      <c r="C391" s="10" t="s">
        <v>10</v>
      </c>
      <c r="D391" s="95" t="s">
        <v>799</v>
      </c>
      <c r="E391" s="11" t="s">
        <v>800</v>
      </c>
      <c r="F391" s="17" t="s">
        <v>801</v>
      </c>
      <c r="G391" s="18" t="s">
        <v>802</v>
      </c>
      <c r="H391" s="13">
        <v>2</v>
      </c>
      <c r="I391" s="14">
        <v>0.2999999999999971</v>
      </c>
      <c r="J391" s="100">
        <f t="shared" si="6"/>
        <v>61.253999999999408</v>
      </c>
    </row>
    <row r="392" spans="1:10" ht="18.75" customHeight="1" x14ac:dyDescent="0.25">
      <c r="A392" s="9" t="s">
        <v>9</v>
      </c>
      <c r="B392" s="10">
        <v>62007</v>
      </c>
      <c r="C392" s="10" t="s">
        <v>10</v>
      </c>
      <c r="D392" s="95" t="s">
        <v>832</v>
      </c>
      <c r="E392" s="11" t="s">
        <v>833</v>
      </c>
      <c r="F392" s="17" t="s">
        <v>834</v>
      </c>
      <c r="G392" s="18" t="s">
        <v>835</v>
      </c>
      <c r="H392" s="13">
        <v>2</v>
      </c>
      <c r="I392" s="14">
        <v>0.24324252136752192</v>
      </c>
      <c r="J392" s="100">
        <f t="shared" si="6"/>
        <v>49.66525801282063</v>
      </c>
    </row>
    <row r="393" spans="1:10" ht="18.75" customHeight="1" x14ac:dyDescent="0.25">
      <c r="A393" s="9" t="s">
        <v>9</v>
      </c>
      <c r="B393" s="10">
        <v>62256</v>
      </c>
      <c r="C393" s="10" t="s">
        <v>10</v>
      </c>
      <c r="D393" s="95" t="s">
        <v>854</v>
      </c>
      <c r="E393" s="11" t="s">
        <v>867</v>
      </c>
      <c r="F393" s="17"/>
      <c r="G393" s="18"/>
      <c r="H393" s="13">
        <v>2</v>
      </c>
      <c r="I393" s="14">
        <v>0.19999999999999898</v>
      </c>
      <c r="J393" s="100">
        <f t="shared" si="6"/>
        <v>40.835999999999792</v>
      </c>
    </row>
    <row r="394" spans="1:10" ht="18.75" customHeight="1" x14ac:dyDescent="0.25">
      <c r="A394" s="9" t="s">
        <v>9</v>
      </c>
      <c r="B394" s="10">
        <v>62108</v>
      </c>
      <c r="C394" s="10" t="s">
        <v>10</v>
      </c>
      <c r="D394" s="95" t="s">
        <v>636</v>
      </c>
      <c r="E394" s="11" t="s">
        <v>637</v>
      </c>
      <c r="F394" s="17" t="s">
        <v>638</v>
      </c>
      <c r="G394" s="18">
        <v>0</v>
      </c>
      <c r="H394" s="13">
        <v>2</v>
      </c>
      <c r="I394" s="14">
        <v>0.46904761904762016</v>
      </c>
      <c r="J394" s="100">
        <f t="shared" si="6"/>
        <v>95.770142857143085</v>
      </c>
    </row>
    <row r="395" spans="1:10" ht="18.75" customHeight="1" x14ac:dyDescent="0.25">
      <c r="A395" s="9" t="s">
        <v>9</v>
      </c>
      <c r="B395" s="10">
        <v>62162</v>
      </c>
      <c r="C395" s="10" t="s">
        <v>30</v>
      </c>
      <c r="D395" s="95" t="s">
        <v>661</v>
      </c>
      <c r="E395" s="11" t="s">
        <v>796</v>
      </c>
      <c r="F395" s="17"/>
      <c r="G395" s="18"/>
      <c r="H395" s="13">
        <v>2</v>
      </c>
      <c r="I395" s="14">
        <v>0.29999999999999899</v>
      </c>
      <c r="J395" s="100">
        <f t="shared" si="6"/>
        <v>61.253999999999799</v>
      </c>
    </row>
    <row r="396" spans="1:10" ht="18.75" customHeight="1" x14ac:dyDescent="0.25">
      <c r="A396" s="9" t="s">
        <v>9</v>
      </c>
      <c r="B396" s="10">
        <v>62211</v>
      </c>
      <c r="C396" s="10" t="s">
        <v>30</v>
      </c>
      <c r="D396" s="95" t="s">
        <v>799</v>
      </c>
      <c r="E396" s="11" t="s">
        <v>888</v>
      </c>
      <c r="F396" s="17" t="s">
        <v>801</v>
      </c>
      <c r="G396" s="18" t="s">
        <v>802</v>
      </c>
      <c r="H396" s="13">
        <v>2</v>
      </c>
      <c r="I396" s="14">
        <v>0.17999999999999824</v>
      </c>
      <c r="J396" s="100">
        <f t="shared" si="6"/>
        <v>36.752399999999646</v>
      </c>
    </row>
    <row r="397" spans="1:10" ht="18.75" customHeight="1" x14ac:dyDescent="0.25">
      <c r="A397" s="9" t="s">
        <v>9</v>
      </c>
      <c r="B397" s="10">
        <v>62052</v>
      </c>
      <c r="C397" s="10" t="s">
        <v>10</v>
      </c>
      <c r="D397" s="95" t="s">
        <v>693</v>
      </c>
      <c r="E397" s="11" t="s">
        <v>694</v>
      </c>
      <c r="F397" s="17"/>
      <c r="G397" s="18"/>
      <c r="H397" s="13">
        <v>2</v>
      </c>
      <c r="I397" s="14">
        <v>0.39999999999999897</v>
      </c>
      <c r="J397" s="100">
        <f t="shared" si="6"/>
        <v>81.671999999999798</v>
      </c>
    </row>
    <row r="398" spans="1:10" ht="18.75" customHeight="1" x14ac:dyDescent="0.25">
      <c r="A398" s="9" t="s">
        <v>9</v>
      </c>
      <c r="B398" s="10">
        <v>64046</v>
      </c>
      <c r="C398" s="10" t="s">
        <v>10</v>
      </c>
      <c r="D398" s="95" t="s">
        <v>551</v>
      </c>
      <c r="E398" s="11" t="s">
        <v>537</v>
      </c>
      <c r="F398" s="17" t="s">
        <v>552</v>
      </c>
      <c r="G398" s="18" t="s">
        <v>553</v>
      </c>
      <c r="H398" s="13">
        <v>2</v>
      </c>
      <c r="I398" s="14">
        <v>0.6</v>
      </c>
      <c r="J398" s="100">
        <f t="shared" si="6"/>
        <v>122.508</v>
      </c>
    </row>
    <row r="399" spans="1:10" ht="18.75" customHeight="1" x14ac:dyDescent="0.25">
      <c r="A399" s="9" t="s">
        <v>9</v>
      </c>
      <c r="B399" s="10">
        <v>62052</v>
      </c>
      <c r="C399" s="10" t="s">
        <v>30</v>
      </c>
      <c r="D399" s="95" t="s">
        <v>693</v>
      </c>
      <c r="E399" s="11" t="s">
        <v>843</v>
      </c>
      <c r="F399" s="17"/>
      <c r="G399" s="18"/>
      <c r="H399" s="13">
        <v>2</v>
      </c>
      <c r="I399" s="14">
        <v>0.23999999999999938</v>
      </c>
      <c r="J399" s="100">
        <f t="shared" si="6"/>
        <v>49.003199999999872</v>
      </c>
    </row>
    <row r="400" spans="1:10" ht="18.75" customHeight="1" x14ac:dyDescent="0.25">
      <c r="A400" s="9" t="s">
        <v>9</v>
      </c>
      <c r="B400" s="10">
        <v>68033</v>
      </c>
      <c r="C400" s="10" t="s">
        <v>10</v>
      </c>
      <c r="D400" s="95" t="s">
        <v>847</v>
      </c>
      <c r="E400" s="11" t="s">
        <v>848</v>
      </c>
      <c r="F400" s="11" t="s">
        <v>849</v>
      </c>
      <c r="G400" s="12" t="s">
        <v>64</v>
      </c>
      <c r="H400" s="13">
        <v>2</v>
      </c>
      <c r="I400" s="14">
        <v>0.22076923076923091</v>
      </c>
      <c r="J400" s="100">
        <f t="shared" si="6"/>
        <v>45.076661538461572</v>
      </c>
    </row>
    <row r="401" spans="1:10" ht="18.75" customHeight="1" x14ac:dyDescent="0.25">
      <c r="A401" s="9" t="s">
        <v>9</v>
      </c>
      <c r="B401" s="10">
        <v>62091</v>
      </c>
      <c r="C401" s="10" t="s">
        <v>10</v>
      </c>
      <c r="D401" s="95" t="s">
        <v>739</v>
      </c>
      <c r="E401" s="11" t="s">
        <v>740</v>
      </c>
      <c r="F401" s="17"/>
      <c r="G401" s="18"/>
      <c r="H401" s="13">
        <v>2</v>
      </c>
      <c r="I401" s="14">
        <v>0.34615384615384459</v>
      </c>
      <c r="J401" s="100">
        <f t="shared" si="6"/>
        <v>70.677692307691984</v>
      </c>
    </row>
    <row r="402" spans="1:10" ht="18.75" customHeight="1" x14ac:dyDescent="0.25">
      <c r="A402" s="9" t="s">
        <v>9</v>
      </c>
      <c r="B402" s="10">
        <v>64098</v>
      </c>
      <c r="C402" s="10" t="s">
        <v>30</v>
      </c>
      <c r="D402" s="95" t="s">
        <v>716</v>
      </c>
      <c r="E402" s="11" t="s">
        <v>646</v>
      </c>
      <c r="F402" s="17" t="s">
        <v>632</v>
      </c>
      <c r="G402" s="18" t="s">
        <v>647</v>
      </c>
      <c r="H402" s="13">
        <v>2</v>
      </c>
      <c r="I402" s="14">
        <v>0.21428571428571574</v>
      </c>
      <c r="J402" s="100">
        <f t="shared" si="6"/>
        <v>43.752857142857444</v>
      </c>
    </row>
    <row r="403" spans="1:10" ht="18.75" customHeight="1" x14ac:dyDescent="0.25">
      <c r="A403" s="9" t="s">
        <v>9</v>
      </c>
      <c r="B403" s="10">
        <v>62091</v>
      </c>
      <c r="C403" s="10" t="s">
        <v>30</v>
      </c>
      <c r="D403" s="95" t="s">
        <v>739</v>
      </c>
      <c r="E403" s="11" t="s">
        <v>804</v>
      </c>
      <c r="F403" s="17"/>
      <c r="G403" s="18"/>
      <c r="H403" s="13">
        <v>2</v>
      </c>
      <c r="I403" s="14">
        <v>0.29999999999999399</v>
      </c>
      <c r="J403" s="100">
        <f t="shared" si="6"/>
        <v>61.253999999998776</v>
      </c>
    </row>
    <row r="404" spans="1:10" ht="18.75" customHeight="1" x14ac:dyDescent="0.25">
      <c r="A404" s="9" t="s">
        <v>9</v>
      </c>
      <c r="B404" s="10">
        <v>64214</v>
      </c>
      <c r="C404" s="10" t="s">
        <v>30</v>
      </c>
      <c r="D404" s="95" t="s">
        <v>630</v>
      </c>
      <c r="E404" s="11" t="s">
        <v>853</v>
      </c>
      <c r="F404" s="17"/>
      <c r="G404" s="18"/>
      <c r="H404" s="13">
        <v>2</v>
      </c>
      <c r="I404" s="14">
        <v>0.20000000000001</v>
      </c>
      <c r="J404" s="100">
        <f t="shared" si="6"/>
        <v>40.836000000002045</v>
      </c>
    </row>
    <row r="405" spans="1:10" ht="18.75" customHeight="1" x14ac:dyDescent="0.25">
      <c r="A405" s="9" t="s">
        <v>9</v>
      </c>
      <c r="B405" s="10">
        <v>62093</v>
      </c>
      <c r="C405" s="10" t="s">
        <v>10</v>
      </c>
      <c r="D405" s="95" t="s">
        <v>850</v>
      </c>
      <c r="E405" s="11" t="s">
        <v>851</v>
      </c>
      <c r="F405" s="17"/>
      <c r="G405" s="18"/>
      <c r="H405" s="13">
        <v>2</v>
      </c>
      <c r="I405" s="14">
        <v>0.21818181818181928</v>
      </c>
      <c r="J405" s="100">
        <f t="shared" si="6"/>
        <v>44.54836363636386</v>
      </c>
    </row>
    <row r="406" spans="1:10" ht="18.75" customHeight="1" x14ac:dyDescent="0.25">
      <c r="A406" s="9" t="s">
        <v>9</v>
      </c>
      <c r="B406" s="10">
        <v>64048</v>
      </c>
      <c r="C406" s="10" t="s">
        <v>10</v>
      </c>
      <c r="D406" s="95" t="s">
        <v>856</v>
      </c>
      <c r="E406" s="11" t="s">
        <v>857</v>
      </c>
      <c r="F406" s="17" t="s">
        <v>552</v>
      </c>
      <c r="G406" s="18" t="s">
        <v>553</v>
      </c>
      <c r="H406" s="13">
        <v>2</v>
      </c>
      <c r="I406" s="14">
        <v>0.19999999999999951</v>
      </c>
      <c r="J406" s="100">
        <f t="shared" si="6"/>
        <v>40.835999999999899</v>
      </c>
    </row>
    <row r="407" spans="1:10" ht="18.75" customHeight="1" x14ac:dyDescent="0.25">
      <c r="A407" s="9" t="s">
        <v>9</v>
      </c>
      <c r="B407" s="10">
        <v>66061</v>
      </c>
      <c r="C407" s="10" t="s">
        <v>10</v>
      </c>
      <c r="D407" s="95" t="s">
        <v>858</v>
      </c>
      <c r="E407" s="11" t="s">
        <v>857</v>
      </c>
      <c r="F407" s="17"/>
      <c r="G407" s="18"/>
      <c r="H407" s="13">
        <v>2</v>
      </c>
      <c r="I407" s="14">
        <v>0.19999999999999951</v>
      </c>
      <c r="J407" s="100">
        <f t="shared" si="6"/>
        <v>40.835999999999899</v>
      </c>
    </row>
    <row r="408" spans="1:10" ht="18.75" customHeight="1" x14ac:dyDescent="0.25">
      <c r="A408" s="9" t="s">
        <v>9</v>
      </c>
      <c r="B408" s="10">
        <v>62093</v>
      </c>
      <c r="C408" s="10" t="s">
        <v>30</v>
      </c>
      <c r="D408" s="95" t="s">
        <v>850</v>
      </c>
      <c r="E408" s="11" t="s">
        <v>930</v>
      </c>
      <c r="F408" s="17"/>
      <c r="G408" s="18"/>
      <c r="H408" s="13">
        <v>2</v>
      </c>
      <c r="I408" s="14">
        <v>0.11999999999999947</v>
      </c>
      <c r="J408" s="100">
        <f t="shared" si="6"/>
        <v>24.501599999999893</v>
      </c>
    </row>
    <row r="409" spans="1:10" ht="18.75" customHeight="1" x14ac:dyDescent="0.25">
      <c r="A409" s="9" t="s">
        <v>9</v>
      </c>
      <c r="B409" s="10">
        <v>62007</v>
      </c>
      <c r="C409" s="10" t="s">
        <v>30</v>
      </c>
      <c r="D409" s="95" t="s">
        <v>832</v>
      </c>
      <c r="E409" s="11" t="s">
        <v>860</v>
      </c>
      <c r="F409" s="17" t="s">
        <v>861</v>
      </c>
      <c r="G409" s="20" t="s">
        <v>862</v>
      </c>
      <c r="H409" s="13">
        <v>2</v>
      </c>
      <c r="I409" s="14">
        <v>0.19999999999999901</v>
      </c>
      <c r="J409" s="100">
        <f t="shared" si="6"/>
        <v>40.8359999999998</v>
      </c>
    </row>
    <row r="410" spans="1:10" ht="18.75" customHeight="1" x14ac:dyDescent="0.25">
      <c r="A410" s="9" t="s">
        <v>9</v>
      </c>
      <c r="B410" s="10">
        <v>62170</v>
      </c>
      <c r="C410" s="10" t="s">
        <v>10</v>
      </c>
      <c r="D410" s="95" t="s">
        <v>863</v>
      </c>
      <c r="E410" s="11" t="s">
        <v>833</v>
      </c>
      <c r="F410" s="17" t="s">
        <v>864</v>
      </c>
      <c r="G410" s="18" t="s">
        <v>865</v>
      </c>
      <c r="H410" s="13">
        <v>2</v>
      </c>
      <c r="I410" s="14">
        <v>0.19999999999999901</v>
      </c>
      <c r="J410" s="100">
        <f t="shared" si="6"/>
        <v>40.8359999999998</v>
      </c>
    </row>
    <row r="411" spans="1:10" ht="18.75" customHeight="1" x14ac:dyDescent="0.25">
      <c r="A411" s="9" t="s">
        <v>9</v>
      </c>
      <c r="B411" s="10">
        <v>64096</v>
      </c>
      <c r="C411" s="10" t="s">
        <v>30</v>
      </c>
      <c r="D411" s="95" t="s">
        <v>674</v>
      </c>
      <c r="E411" s="11" t="s">
        <v>866</v>
      </c>
      <c r="F411" s="17" t="s">
        <v>632</v>
      </c>
      <c r="G411" s="18" t="s">
        <v>647</v>
      </c>
      <c r="H411" s="13">
        <v>2</v>
      </c>
      <c r="I411" s="14">
        <v>0.19999999999999901</v>
      </c>
      <c r="J411" s="100">
        <f t="shared" si="6"/>
        <v>40.8359999999998</v>
      </c>
    </row>
    <row r="412" spans="1:10" ht="18.75" customHeight="1" x14ac:dyDescent="0.25">
      <c r="A412" s="9" t="s">
        <v>9</v>
      </c>
      <c r="B412" s="10">
        <v>62047</v>
      </c>
      <c r="C412" s="10" t="s">
        <v>10</v>
      </c>
      <c r="D412" s="95" t="s">
        <v>756</v>
      </c>
      <c r="E412" s="11" t="s">
        <v>757</v>
      </c>
      <c r="F412" s="17" t="s">
        <v>758</v>
      </c>
      <c r="G412" s="18" t="s">
        <v>759</v>
      </c>
      <c r="H412" s="13">
        <v>2</v>
      </c>
      <c r="I412" s="14">
        <v>0.30357142857143016</v>
      </c>
      <c r="J412" s="100">
        <f t="shared" si="6"/>
        <v>61.98321428571461</v>
      </c>
    </row>
    <row r="413" spans="1:10" ht="18.75" customHeight="1" x14ac:dyDescent="0.25">
      <c r="A413" s="9" t="s">
        <v>9</v>
      </c>
      <c r="B413" s="10">
        <v>60030</v>
      </c>
      <c r="C413" s="10" t="s">
        <v>10</v>
      </c>
      <c r="D413" s="95" t="s">
        <v>868</v>
      </c>
      <c r="E413" s="11" t="s">
        <v>869</v>
      </c>
      <c r="F413" s="17" t="s">
        <v>870</v>
      </c>
      <c r="G413" s="18" t="s">
        <v>871</v>
      </c>
      <c r="H413" s="13">
        <v>2</v>
      </c>
      <c r="I413" s="14">
        <v>0.19763888888888911</v>
      </c>
      <c r="J413" s="100">
        <f t="shared" si="6"/>
        <v>40.353908333333379</v>
      </c>
    </row>
    <row r="414" spans="1:10" ht="18.75" customHeight="1" x14ac:dyDescent="0.25">
      <c r="A414" s="9" t="s">
        <v>9</v>
      </c>
      <c r="B414" s="10">
        <v>62213</v>
      </c>
      <c r="C414" s="10" t="s">
        <v>10</v>
      </c>
      <c r="D414" s="95" t="s">
        <v>230</v>
      </c>
      <c r="E414" s="11" t="s">
        <v>231</v>
      </c>
      <c r="F414" s="17" t="s">
        <v>232</v>
      </c>
      <c r="G414" s="18" t="s">
        <v>233</v>
      </c>
      <c r="H414" s="13">
        <v>4</v>
      </c>
      <c r="I414" s="14">
        <v>3.036</v>
      </c>
      <c r="J414" s="100">
        <f t="shared" si="6"/>
        <v>619.89048000000003</v>
      </c>
    </row>
    <row r="415" spans="1:10" ht="18.75" customHeight="1" x14ac:dyDescent="0.25">
      <c r="A415" s="9" t="s">
        <v>9</v>
      </c>
      <c r="B415" s="10">
        <v>62001</v>
      </c>
      <c r="C415" s="10" t="s">
        <v>10</v>
      </c>
      <c r="D415" s="95" t="s">
        <v>793</v>
      </c>
      <c r="E415" s="11" t="s">
        <v>771</v>
      </c>
      <c r="F415" s="17" t="s">
        <v>794</v>
      </c>
      <c r="G415" s="18" t="s">
        <v>795</v>
      </c>
      <c r="H415" s="13">
        <v>2</v>
      </c>
      <c r="I415" s="14">
        <v>0.29999999999999905</v>
      </c>
      <c r="J415" s="100">
        <f t="shared" si="6"/>
        <v>61.253999999999806</v>
      </c>
    </row>
    <row r="416" spans="1:10" ht="18.75" customHeight="1" x14ac:dyDescent="0.25">
      <c r="A416" s="9" t="s">
        <v>9</v>
      </c>
      <c r="B416" s="10">
        <v>62149</v>
      </c>
      <c r="C416" s="10" t="s">
        <v>10</v>
      </c>
      <c r="D416" s="95" t="s">
        <v>878</v>
      </c>
      <c r="E416" s="11" t="s">
        <v>879</v>
      </c>
      <c r="F416" s="17"/>
      <c r="G416" s="18"/>
      <c r="H416" s="13">
        <v>2</v>
      </c>
      <c r="I416" s="14">
        <v>0.18</v>
      </c>
      <c r="J416" s="100">
        <f t="shared" si="6"/>
        <v>36.752400000000002</v>
      </c>
    </row>
    <row r="417" spans="1:10" ht="18.75" customHeight="1" x14ac:dyDescent="0.25">
      <c r="A417" s="9" t="s">
        <v>9</v>
      </c>
      <c r="B417" s="10">
        <v>62213</v>
      </c>
      <c r="C417" s="10" t="s">
        <v>30</v>
      </c>
      <c r="D417" s="95" t="s">
        <v>230</v>
      </c>
      <c r="E417" s="11" t="s">
        <v>319</v>
      </c>
      <c r="F417" s="17"/>
      <c r="G417" s="18"/>
      <c r="H417" s="13">
        <v>4</v>
      </c>
      <c r="I417" s="14">
        <v>1.9871999999999999</v>
      </c>
      <c r="J417" s="100">
        <f t="shared" si="6"/>
        <v>405.74649599999998</v>
      </c>
    </row>
    <row r="418" spans="1:10" ht="18.75" customHeight="1" x14ac:dyDescent="0.25">
      <c r="A418" s="9" t="s">
        <v>9</v>
      </c>
      <c r="B418" s="10">
        <v>62047</v>
      </c>
      <c r="C418" s="10" t="s">
        <v>30</v>
      </c>
      <c r="D418" s="95" t="s">
        <v>756</v>
      </c>
      <c r="E418" s="11" t="s">
        <v>836</v>
      </c>
      <c r="F418" s="17" t="s">
        <v>758</v>
      </c>
      <c r="G418" s="18" t="s">
        <v>759</v>
      </c>
      <c r="H418" s="13">
        <v>2</v>
      </c>
      <c r="I418" s="14">
        <v>0.24285714285714413</v>
      </c>
      <c r="J418" s="100">
        <f t="shared" si="6"/>
        <v>49.586571428571688</v>
      </c>
    </row>
    <row r="419" spans="1:10" ht="18.75" customHeight="1" x14ac:dyDescent="0.25">
      <c r="A419" s="9" t="s">
        <v>9</v>
      </c>
      <c r="B419" s="94">
        <v>60040</v>
      </c>
      <c r="C419" s="94" t="s">
        <v>30</v>
      </c>
      <c r="D419" s="95" t="s">
        <v>703</v>
      </c>
      <c r="E419" s="11" t="s">
        <v>816</v>
      </c>
      <c r="F419" s="17"/>
      <c r="G419" s="18"/>
      <c r="H419" s="13">
        <v>2</v>
      </c>
      <c r="I419" s="14">
        <v>0.27499999999999775</v>
      </c>
      <c r="J419" s="100">
        <f t="shared" si="6"/>
        <v>56.149499999999541</v>
      </c>
    </row>
    <row r="420" spans="1:10" ht="18.75" customHeight="1" x14ac:dyDescent="0.25">
      <c r="A420" s="9" t="s">
        <v>9</v>
      </c>
      <c r="B420" s="10">
        <v>66003</v>
      </c>
      <c r="C420" s="10" t="s">
        <v>10</v>
      </c>
      <c r="D420" s="95" t="s">
        <v>616</v>
      </c>
      <c r="E420" s="11" t="s">
        <v>478</v>
      </c>
      <c r="F420" s="17" t="s">
        <v>559</v>
      </c>
      <c r="G420" s="18" t="s">
        <v>480</v>
      </c>
      <c r="H420" s="13">
        <v>2</v>
      </c>
      <c r="I420" s="14">
        <v>0.5</v>
      </c>
      <c r="J420" s="100">
        <f t="shared" si="6"/>
        <v>102.09</v>
      </c>
    </row>
    <row r="421" spans="1:10" ht="18.75" customHeight="1" x14ac:dyDescent="0.25">
      <c r="A421" s="9" t="s">
        <v>9</v>
      </c>
      <c r="B421" s="10">
        <v>62001</v>
      </c>
      <c r="C421" s="10" t="s">
        <v>30</v>
      </c>
      <c r="D421" s="95" t="s">
        <v>793</v>
      </c>
      <c r="E421" s="11" t="s">
        <v>875</v>
      </c>
      <c r="F421" s="17" t="s">
        <v>884</v>
      </c>
      <c r="G421" s="18" t="s">
        <v>885</v>
      </c>
      <c r="H421" s="13">
        <v>2</v>
      </c>
      <c r="I421" s="14">
        <v>0.17999999999999941</v>
      </c>
      <c r="J421" s="100">
        <f t="shared" si="6"/>
        <v>36.752399999999881</v>
      </c>
    </row>
    <row r="422" spans="1:10" ht="18.75" customHeight="1" x14ac:dyDescent="0.25">
      <c r="A422" s="9" t="s">
        <v>9</v>
      </c>
      <c r="B422" s="10">
        <v>64099</v>
      </c>
      <c r="C422" s="10" t="s">
        <v>30</v>
      </c>
      <c r="D422" s="95" t="s">
        <v>797</v>
      </c>
      <c r="E422" s="11" t="s">
        <v>886</v>
      </c>
      <c r="F422" s="17"/>
      <c r="G422" s="18"/>
      <c r="H422" s="13">
        <v>2</v>
      </c>
      <c r="I422" s="14">
        <v>0.17999999999999922</v>
      </c>
      <c r="J422" s="100">
        <f t="shared" si="6"/>
        <v>36.752399999999838</v>
      </c>
    </row>
    <row r="423" spans="1:10" ht="18.75" customHeight="1" x14ac:dyDescent="0.25">
      <c r="A423" s="9" t="s">
        <v>9</v>
      </c>
      <c r="B423" s="10">
        <v>62146</v>
      </c>
      <c r="C423" s="10" t="s">
        <v>10</v>
      </c>
      <c r="D423" s="95" t="s">
        <v>641</v>
      </c>
      <c r="E423" s="11" t="s">
        <v>642</v>
      </c>
      <c r="F423" s="17" t="s">
        <v>643</v>
      </c>
      <c r="G423" s="18" t="s">
        <v>644</v>
      </c>
      <c r="H423" s="13">
        <v>2</v>
      </c>
      <c r="I423" s="14">
        <v>0.46500000000000263</v>
      </c>
      <c r="J423" s="100">
        <f t="shared" si="6"/>
        <v>94.943700000000547</v>
      </c>
    </row>
    <row r="424" spans="1:10" ht="18.75" customHeight="1" x14ac:dyDescent="0.25">
      <c r="A424" s="9" t="s">
        <v>9</v>
      </c>
      <c r="B424" s="10">
        <v>62217</v>
      </c>
      <c r="C424" s="10" t="s">
        <v>10</v>
      </c>
      <c r="D424" s="95" t="s">
        <v>265</v>
      </c>
      <c r="E424" s="11" t="s">
        <v>266</v>
      </c>
      <c r="F424" s="17" t="s">
        <v>267</v>
      </c>
      <c r="G424" s="18" t="s">
        <v>268</v>
      </c>
      <c r="H424" s="13">
        <v>4</v>
      </c>
      <c r="I424" s="14">
        <v>2.4839999999999929</v>
      </c>
      <c r="J424" s="100">
        <f t="shared" si="6"/>
        <v>507.18311999999855</v>
      </c>
    </row>
    <row r="425" spans="1:10" ht="18.75" customHeight="1" x14ac:dyDescent="0.25">
      <c r="A425" s="9" t="s">
        <v>9</v>
      </c>
      <c r="B425" s="10">
        <v>64053</v>
      </c>
      <c r="C425" s="10" t="s">
        <v>10</v>
      </c>
      <c r="D425" s="95" t="s">
        <v>650</v>
      </c>
      <c r="E425" s="11" t="s">
        <v>651</v>
      </c>
      <c r="F425" s="17"/>
      <c r="G425" s="18"/>
      <c r="H425" s="13">
        <v>2</v>
      </c>
      <c r="I425" s="14">
        <v>0.45</v>
      </c>
      <c r="J425" s="100">
        <f t="shared" si="6"/>
        <v>91.881</v>
      </c>
    </row>
    <row r="426" spans="1:10" ht="18.75" customHeight="1" x14ac:dyDescent="0.25">
      <c r="A426" s="9" t="s">
        <v>9</v>
      </c>
      <c r="B426" s="10">
        <v>64086</v>
      </c>
      <c r="C426" s="10" t="s">
        <v>30</v>
      </c>
      <c r="D426" s="95" t="s">
        <v>171</v>
      </c>
      <c r="E426" s="11" t="s">
        <v>172</v>
      </c>
      <c r="F426" s="17" t="s">
        <v>173</v>
      </c>
      <c r="G426" s="18" t="s">
        <v>174</v>
      </c>
      <c r="H426" s="13">
        <v>2</v>
      </c>
      <c r="I426" s="14">
        <v>3</v>
      </c>
      <c r="J426" s="100">
        <f t="shared" si="6"/>
        <v>612.54</v>
      </c>
    </row>
    <row r="427" spans="1:10" ht="18.75" customHeight="1" x14ac:dyDescent="0.25">
      <c r="A427" s="9" t="s">
        <v>9</v>
      </c>
      <c r="B427" s="29">
        <v>64090</v>
      </c>
      <c r="C427" s="10" t="s">
        <v>30</v>
      </c>
      <c r="D427" s="95" t="s">
        <v>378</v>
      </c>
      <c r="E427" s="11" t="s">
        <v>379</v>
      </c>
      <c r="F427" s="17"/>
      <c r="G427" s="18"/>
      <c r="H427" s="13">
        <v>2</v>
      </c>
      <c r="I427" s="14">
        <v>1.2</v>
      </c>
      <c r="J427" s="100">
        <f t="shared" si="6"/>
        <v>245.01599999999999</v>
      </c>
    </row>
    <row r="428" spans="1:10" ht="18.75" customHeight="1" x14ac:dyDescent="0.25">
      <c r="A428" s="9" t="s">
        <v>9</v>
      </c>
      <c r="B428" s="10">
        <v>64150</v>
      </c>
      <c r="C428" s="10" t="s">
        <v>10</v>
      </c>
      <c r="D428" s="95" t="s">
        <v>526</v>
      </c>
      <c r="E428" s="11" t="s">
        <v>527</v>
      </c>
      <c r="F428" s="17"/>
      <c r="G428" s="18"/>
      <c r="H428" s="13">
        <v>2</v>
      </c>
      <c r="I428" s="14">
        <v>0.66666666666666596</v>
      </c>
      <c r="J428" s="100">
        <f t="shared" si="6"/>
        <v>136.11999999999986</v>
      </c>
    </row>
    <row r="429" spans="1:10" ht="18.75" customHeight="1" x14ac:dyDescent="0.25">
      <c r="A429" s="9" t="s">
        <v>9</v>
      </c>
      <c r="B429" s="10">
        <v>62170</v>
      </c>
      <c r="C429" s="10" t="s">
        <v>30</v>
      </c>
      <c r="D429" s="95" t="s">
        <v>863</v>
      </c>
      <c r="E429" s="11" t="s">
        <v>860</v>
      </c>
      <c r="F429" s="17" t="s">
        <v>864</v>
      </c>
      <c r="G429" s="18" t="s">
        <v>865</v>
      </c>
      <c r="H429" s="13">
        <v>2</v>
      </c>
      <c r="I429" s="14">
        <v>0.1599999999999992</v>
      </c>
      <c r="J429" s="100">
        <f t="shared" si="6"/>
        <v>32.668799999999834</v>
      </c>
    </row>
    <row r="430" spans="1:10" ht="18.75" customHeight="1" x14ac:dyDescent="0.25">
      <c r="A430" s="9" t="s">
        <v>9</v>
      </c>
      <c r="B430" s="10">
        <v>60089</v>
      </c>
      <c r="C430" s="10" t="s">
        <v>10</v>
      </c>
      <c r="D430" s="95" t="s">
        <v>691</v>
      </c>
      <c r="E430" s="11" t="s">
        <v>692</v>
      </c>
      <c r="F430" s="43"/>
      <c r="G430" s="18"/>
      <c r="H430" s="13">
        <v>2</v>
      </c>
      <c r="I430" s="14">
        <v>0.39999999999999897</v>
      </c>
      <c r="J430" s="100">
        <f t="shared" si="6"/>
        <v>81.671999999999798</v>
      </c>
    </row>
    <row r="431" spans="1:10" ht="18.75" customHeight="1" x14ac:dyDescent="0.25">
      <c r="A431" s="9" t="s">
        <v>9</v>
      </c>
      <c r="B431" s="10">
        <v>60030</v>
      </c>
      <c r="C431" s="10" t="s">
        <v>30</v>
      </c>
      <c r="D431" s="95" t="s">
        <v>868</v>
      </c>
      <c r="E431" s="11" t="s">
        <v>899</v>
      </c>
      <c r="F431" s="44" t="s">
        <v>870</v>
      </c>
      <c r="G431" s="18" t="s">
        <v>871</v>
      </c>
      <c r="H431" s="13">
        <v>2</v>
      </c>
      <c r="I431" s="14">
        <v>0.15472222222222104</v>
      </c>
      <c r="J431" s="100">
        <f t="shared" si="6"/>
        <v>31.591183333333092</v>
      </c>
    </row>
    <row r="432" spans="1:10" ht="18.75" customHeight="1" x14ac:dyDescent="0.25">
      <c r="A432" s="9" t="s">
        <v>9</v>
      </c>
      <c r="B432" s="10">
        <v>62217</v>
      </c>
      <c r="C432" s="10" t="s">
        <v>30</v>
      </c>
      <c r="D432" s="95" t="s">
        <v>265</v>
      </c>
      <c r="E432" s="11" t="s">
        <v>339</v>
      </c>
      <c r="F432" s="44" t="s">
        <v>267</v>
      </c>
      <c r="G432" s="18" t="s">
        <v>268</v>
      </c>
      <c r="H432" s="13">
        <v>4</v>
      </c>
      <c r="I432" s="14">
        <v>1.8400000000000043</v>
      </c>
      <c r="J432" s="100">
        <f t="shared" si="6"/>
        <v>375.69120000000089</v>
      </c>
    </row>
    <row r="433" spans="1:10" ht="18.75" customHeight="1" x14ac:dyDescent="0.25">
      <c r="A433" s="9" t="s">
        <v>9</v>
      </c>
      <c r="B433" s="10">
        <v>60153</v>
      </c>
      <c r="C433" s="10" t="s">
        <v>10</v>
      </c>
      <c r="D433" s="95" t="s">
        <v>904</v>
      </c>
      <c r="E433" s="11" t="s">
        <v>905</v>
      </c>
      <c r="F433" s="44"/>
      <c r="G433" s="18"/>
      <c r="H433" s="13">
        <v>2</v>
      </c>
      <c r="I433" s="14">
        <v>0.15</v>
      </c>
      <c r="J433" s="100">
        <f t="shared" si="6"/>
        <v>30.626999999999999</v>
      </c>
    </row>
    <row r="434" spans="1:10" ht="18.75" customHeight="1" x14ac:dyDescent="0.25">
      <c r="A434" s="9" t="s">
        <v>9</v>
      </c>
      <c r="B434" s="10">
        <v>62240</v>
      </c>
      <c r="C434" s="10" t="s">
        <v>10</v>
      </c>
      <c r="D434" s="95" t="s">
        <v>680</v>
      </c>
      <c r="E434" s="11" t="s">
        <v>681</v>
      </c>
      <c r="F434" s="44" t="s">
        <v>548</v>
      </c>
      <c r="G434" s="18" t="s">
        <v>549</v>
      </c>
      <c r="H434" s="13">
        <v>2</v>
      </c>
      <c r="I434" s="14">
        <v>0.40000000000000291</v>
      </c>
      <c r="J434" s="100">
        <f t="shared" si="6"/>
        <v>81.672000000000594</v>
      </c>
    </row>
    <row r="435" spans="1:10" ht="18.75" customHeight="1" x14ac:dyDescent="0.25">
      <c r="A435" s="9" t="s">
        <v>9</v>
      </c>
      <c r="B435" s="10">
        <v>62240</v>
      </c>
      <c r="C435" s="10" t="s">
        <v>30</v>
      </c>
      <c r="D435" s="95" t="s">
        <v>680</v>
      </c>
      <c r="E435" s="11" t="s">
        <v>842</v>
      </c>
      <c r="F435" s="17"/>
      <c r="G435" s="18"/>
      <c r="H435" s="13">
        <v>2</v>
      </c>
      <c r="I435" s="14">
        <v>0.24000000000000177</v>
      </c>
      <c r="J435" s="100">
        <f t="shared" si="6"/>
        <v>49.003200000000362</v>
      </c>
    </row>
    <row r="436" spans="1:10" ht="18.75" customHeight="1" x14ac:dyDescent="0.25">
      <c r="A436" s="9" t="s">
        <v>9</v>
      </c>
      <c r="B436" s="10">
        <v>62242</v>
      </c>
      <c r="C436" s="10" t="s">
        <v>10</v>
      </c>
      <c r="D436" s="95" t="s">
        <v>546</v>
      </c>
      <c r="E436" s="11" t="s">
        <v>547</v>
      </c>
      <c r="F436" s="17" t="s">
        <v>548</v>
      </c>
      <c r="G436" s="18" t="s">
        <v>549</v>
      </c>
      <c r="H436" s="13">
        <v>2</v>
      </c>
      <c r="I436" s="14">
        <v>0.6</v>
      </c>
      <c r="J436" s="100">
        <f t="shared" si="6"/>
        <v>122.508</v>
      </c>
    </row>
    <row r="437" spans="1:10" ht="18.75" customHeight="1" x14ac:dyDescent="0.25">
      <c r="A437" s="9" t="s">
        <v>9</v>
      </c>
      <c r="B437" s="10">
        <v>62242</v>
      </c>
      <c r="C437" s="10" t="s">
        <v>30</v>
      </c>
      <c r="D437" s="95" t="s">
        <v>546</v>
      </c>
      <c r="E437" s="11" t="s">
        <v>718</v>
      </c>
      <c r="F437" s="17"/>
      <c r="G437" s="18"/>
      <c r="H437" s="13">
        <v>2</v>
      </c>
      <c r="I437" s="14">
        <v>0.36</v>
      </c>
      <c r="J437" s="100">
        <f t="shared" si="6"/>
        <v>73.504800000000003</v>
      </c>
    </row>
    <row r="438" spans="1:10" ht="18.75" customHeight="1" x14ac:dyDescent="0.25">
      <c r="A438" s="9" t="s">
        <v>9</v>
      </c>
      <c r="B438" s="10">
        <v>62244</v>
      </c>
      <c r="C438" s="10" t="s">
        <v>10</v>
      </c>
      <c r="D438" s="95" t="s">
        <v>784</v>
      </c>
      <c r="E438" s="11" t="s">
        <v>785</v>
      </c>
      <c r="F438" s="17" t="s">
        <v>786</v>
      </c>
      <c r="G438" s="18" t="s">
        <v>787</v>
      </c>
      <c r="H438" s="13">
        <v>2</v>
      </c>
      <c r="I438" s="14">
        <v>0.3</v>
      </c>
      <c r="J438" s="100">
        <f t="shared" si="6"/>
        <v>61.253999999999998</v>
      </c>
    </row>
    <row r="439" spans="1:10" ht="18.75" customHeight="1" x14ac:dyDescent="0.25">
      <c r="A439" s="9" t="s">
        <v>9</v>
      </c>
      <c r="B439" s="10">
        <v>64220</v>
      </c>
      <c r="C439" s="10" t="s">
        <v>10</v>
      </c>
      <c r="D439" s="95" t="s">
        <v>918</v>
      </c>
      <c r="E439" s="11" t="s">
        <v>919</v>
      </c>
      <c r="F439" s="11" t="s">
        <v>159</v>
      </c>
      <c r="G439" s="12" t="s">
        <v>160</v>
      </c>
      <c r="H439" s="13">
        <v>4</v>
      </c>
      <c r="I439" s="14">
        <v>0.20699999999999999</v>
      </c>
      <c r="J439" s="100">
        <f t="shared" si="6"/>
        <v>42.265259999999998</v>
      </c>
    </row>
    <row r="440" spans="1:10" ht="18.75" customHeight="1" x14ac:dyDescent="0.25">
      <c r="A440" s="9" t="s">
        <v>9</v>
      </c>
      <c r="B440" s="10">
        <v>66003</v>
      </c>
      <c r="C440" s="10" t="s">
        <v>30</v>
      </c>
      <c r="D440" s="95" t="s">
        <v>616</v>
      </c>
      <c r="E440" s="11" t="s">
        <v>558</v>
      </c>
      <c r="F440" s="17" t="s">
        <v>479</v>
      </c>
      <c r="G440" s="18" t="s">
        <v>480</v>
      </c>
      <c r="H440" s="13">
        <v>2</v>
      </c>
      <c r="I440" s="14">
        <v>0.4</v>
      </c>
      <c r="J440" s="100">
        <f t="shared" si="6"/>
        <v>81.672000000000011</v>
      </c>
    </row>
    <row r="441" spans="1:10" ht="18.75" customHeight="1" x14ac:dyDescent="0.25">
      <c r="A441" s="9" t="s">
        <v>9</v>
      </c>
      <c r="B441" s="10">
        <v>62244</v>
      </c>
      <c r="C441" s="10" t="s">
        <v>30</v>
      </c>
      <c r="D441" s="95" t="s">
        <v>784</v>
      </c>
      <c r="E441" s="11" t="s">
        <v>880</v>
      </c>
      <c r="F441" s="17"/>
      <c r="G441" s="18"/>
      <c r="H441" s="13">
        <v>2</v>
      </c>
      <c r="I441" s="14">
        <v>0.18</v>
      </c>
      <c r="J441" s="100">
        <f t="shared" si="6"/>
        <v>36.752400000000002</v>
      </c>
    </row>
    <row r="442" spans="1:10" ht="18.75" customHeight="1" x14ac:dyDescent="0.25">
      <c r="A442" s="9" t="s">
        <v>9</v>
      </c>
      <c r="B442" s="10">
        <v>62174</v>
      </c>
      <c r="C442" s="10" t="s">
        <v>30</v>
      </c>
      <c r="D442" s="95" t="s">
        <v>925</v>
      </c>
      <c r="E442" s="11" t="s">
        <v>535</v>
      </c>
      <c r="F442" s="17">
        <v>576</v>
      </c>
      <c r="G442" s="18" t="s">
        <v>412</v>
      </c>
      <c r="H442" s="13">
        <v>2</v>
      </c>
      <c r="I442" s="14">
        <v>0.14999999999999933</v>
      </c>
      <c r="J442" s="100">
        <f t="shared" si="6"/>
        <v>30.626999999999864</v>
      </c>
    </row>
    <row r="443" spans="1:10" ht="18.75" customHeight="1" x14ac:dyDescent="0.25">
      <c r="A443" s="9" t="s">
        <v>9</v>
      </c>
      <c r="B443" s="10">
        <v>64150</v>
      </c>
      <c r="C443" s="10" t="s">
        <v>30</v>
      </c>
      <c r="D443" s="95" t="s">
        <v>526</v>
      </c>
      <c r="E443" s="11" t="s">
        <v>675</v>
      </c>
      <c r="F443" s="17"/>
      <c r="G443" s="18"/>
      <c r="H443" s="13">
        <v>2</v>
      </c>
      <c r="I443" s="14">
        <v>0.40000000000000402</v>
      </c>
      <c r="J443" s="100">
        <f t="shared" si="6"/>
        <v>81.672000000000821</v>
      </c>
    </row>
    <row r="444" spans="1:10" ht="18.75" customHeight="1" x14ac:dyDescent="0.25">
      <c r="A444" s="9" t="s">
        <v>9</v>
      </c>
      <c r="B444" s="10">
        <v>62062</v>
      </c>
      <c r="C444" s="10" t="s">
        <v>10</v>
      </c>
      <c r="D444" s="95" t="s">
        <v>927</v>
      </c>
      <c r="E444" s="11" t="s">
        <v>928</v>
      </c>
      <c r="F444" s="17" t="s">
        <v>891</v>
      </c>
      <c r="G444" s="18" t="s">
        <v>929</v>
      </c>
      <c r="H444" s="13">
        <v>2</v>
      </c>
      <c r="I444" s="14">
        <v>0.13</v>
      </c>
      <c r="J444" s="100">
        <f t="shared" si="6"/>
        <v>26.543400000000002</v>
      </c>
    </row>
    <row r="445" spans="1:10" ht="18.75" customHeight="1" x14ac:dyDescent="0.25">
      <c r="A445" s="9" t="s">
        <v>9</v>
      </c>
      <c r="B445" s="10">
        <v>62146</v>
      </c>
      <c r="C445" s="10" t="s">
        <v>30</v>
      </c>
      <c r="D445" s="95" t="s">
        <v>641</v>
      </c>
      <c r="E445" s="11" t="s">
        <v>887</v>
      </c>
      <c r="F445" s="17" t="s">
        <v>643</v>
      </c>
      <c r="G445" s="18" t="s">
        <v>644</v>
      </c>
      <c r="H445" s="13">
        <v>2</v>
      </c>
      <c r="I445" s="14">
        <v>0.17999999999999911</v>
      </c>
      <c r="J445" s="100">
        <f t="shared" si="6"/>
        <v>36.752399999999817</v>
      </c>
    </row>
    <row r="446" spans="1:10" ht="18.75" customHeight="1" x14ac:dyDescent="0.25">
      <c r="A446" s="9" t="s">
        <v>9</v>
      </c>
      <c r="B446" s="10">
        <v>66020</v>
      </c>
      <c r="C446" s="10" t="s">
        <v>10</v>
      </c>
      <c r="D446" s="95" t="s">
        <v>931</v>
      </c>
      <c r="E446" s="11" t="s">
        <v>932</v>
      </c>
      <c r="F446" s="11" t="s">
        <v>159</v>
      </c>
      <c r="G446" s="12" t="s">
        <v>160</v>
      </c>
      <c r="H446" s="13">
        <v>4</v>
      </c>
      <c r="I446" s="14">
        <v>0.14490000000000067</v>
      </c>
      <c r="J446" s="100">
        <f t="shared" si="6"/>
        <v>29.585682000000137</v>
      </c>
    </row>
    <row r="447" spans="1:10" ht="18.75" customHeight="1" x14ac:dyDescent="0.25">
      <c r="A447" s="9" t="s">
        <v>9</v>
      </c>
      <c r="B447" s="10">
        <v>64174</v>
      </c>
      <c r="C447" s="10" t="s">
        <v>10</v>
      </c>
      <c r="D447" s="95" t="s">
        <v>933</v>
      </c>
      <c r="E447" s="11" t="s">
        <v>934</v>
      </c>
      <c r="F447" s="45"/>
      <c r="G447" s="12"/>
      <c r="H447" s="13">
        <v>2</v>
      </c>
      <c r="I447" s="14">
        <v>0.10247023809523859</v>
      </c>
      <c r="J447" s="100">
        <f t="shared" si="6"/>
        <v>20.922373214285816</v>
      </c>
    </row>
    <row r="448" spans="1:10" ht="18.75" customHeight="1" x14ac:dyDescent="0.25">
      <c r="A448" s="9" t="s">
        <v>9</v>
      </c>
      <c r="B448" s="10">
        <v>60059</v>
      </c>
      <c r="C448" s="10" t="s">
        <v>10</v>
      </c>
      <c r="D448" s="95" t="s">
        <v>935</v>
      </c>
      <c r="E448" s="11" t="s">
        <v>936</v>
      </c>
      <c r="F448" s="44" t="s">
        <v>937</v>
      </c>
      <c r="G448" s="18" t="s">
        <v>938</v>
      </c>
      <c r="H448" s="13">
        <v>2</v>
      </c>
      <c r="I448" s="14">
        <v>0.1000000000000022</v>
      </c>
      <c r="J448" s="100">
        <f t="shared" si="6"/>
        <v>20.41800000000045</v>
      </c>
    </row>
    <row r="449" spans="1:10" ht="18.75" customHeight="1" x14ac:dyDescent="0.25">
      <c r="A449" s="9" t="s">
        <v>9</v>
      </c>
      <c r="B449" s="10">
        <v>60059</v>
      </c>
      <c r="C449" s="10" t="s">
        <v>30</v>
      </c>
      <c r="D449" s="95" t="s">
        <v>935</v>
      </c>
      <c r="E449" s="11" t="s">
        <v>939</v>
      </c>
      <c r="F449" s="17" t="s">
        <v>937</v>
      </c>
      <c r="G449" s="18" t="s">
        <v>938</v>
      </c>
      <c r="H449" s="13">
        <v>2</v>
      </c>
      <c r="I449" s="14">
        <v>0.1000000000000022</v>
      </c>
      <c r="J449" s="100">
        <f t="shared" si="6"/>
        <v>20.41800000000045</v>
      </c>
    </row>
    <row r="450" spans="1:10" ht="18.75" customHeight="1" x14ac:dyDescent="0.25">
      <c r="A450" s="9" t="s">
        <v>9</v>
      </c>
      <c r="B450" s="10">
        <v>62018</v>
      </c>
      <c r="C450" s="10" t="s">
        <v>10</v>
      </c>
      <c r="D450" s="95" t="s">
        <v>770</v>
      </c>
      <c r="E450" s="11" t="s">
        <v>771</v>
      </c>
      <c r="F450" s="17" t="s">
        <v>772</v>
      </c>
      <c r="G450" s="18" t="s">
        <v>773</v>
      </c>
      <c r="H450" s="13">
        <v>2</v>
      </c>
      <c r="I450" s="14">
        <v>0.30000000000000077</v>
      </c>
      <c r="J450" s="100">
        <f t="shared" si="6"/>
        <v>61.254000000000161</v>
      </c>
    </row>
    <row r="451" spans="1:10" ht="18.75" customHeight="1" x14ac:dyDescent="0.25">
      <c r="A451" s="9" t="s">
        <v>9</v>
      </c>
      <c r="B451" s="10">
        <v>62018</v>
      </c>
      <c r="C451" s="10" t="s">
        <v>30</v>
      </c>
      <c r="D451" s="95" t="s">
        <v>770</v>
      </c>
      <c r="E451" s="11" t="s">
        <v>875</v>
      </c>
      <c r="F451" s="17" t="s">
        <v>876</v>
      </c>
      <c r="G451" s="18" t="s">
        <v>877</v>
      </c>
      <c r="H451" s="13">
        <v>2</v>
      </c>
      <c r="I451" s="14">
        <v>0.18000000000000044</v>
      </c>
      <c r="J451" s="100">
        <f t="shared" ref="J451:J514" si="7">I451*204.18</f>
        <v>36.752400000000094</v>
      </c>
    </row>
    <row r="452" spans="1:10" ht="18.75" customHeight="1" x14ac:dyDescent="0.25">
      <c r="A452" s="9" t="s">
        <v>9</v>
      </c>
      <c r="B452" s="10">
        <v>60153</v>
      </c>
      <c r="C452" s="10" t="s">
        <v>30</v>
      </c>
      <c r="D452" s="95" t="s">
        <v>904</v>
      </c>
      <c r="E452" s="11" t="s">
        <v>946</v>
      </c>
      <c r="F452" s="43"/>
      <c r="G452" s="46"/>
      <c r="H452" s="13">
        <v>2</v>
      </c>
      <c r="I452" s="14">
        <v>0.09</v>
      </c>
      <c r="J452" s="100">
        <f t="shared" si="7"/>
        <v>18.376200000000001</v>
      </c>
    </row>
    <row r="453" spans="1:10" ht="18.75" customHeight="1" x14ac:dyDescent="0.25">
      <c r="A453" s="9" t="s">
        <v>9</v>
      </c>
      <c r="B453" s="10">
        <v>62247</v>
      </c>
      <c r="C453" s="10" t="s">
        <v>10</v>
      </c>
      <c r="D453" s="95" t="s">
        <v>470</v>
      </c>
      <c r="E453" s="11" t="s">
        <v>471</v>
      </c>
      <c r="F453" s="44" t="s">
        <v>472</v>
      </c>
      <c r="G453" s="18" t="s">
        <v>473</v>
      </c>
      <c r="H453" s="13">
        <v>2</v>
      </c>
      <c r="I453" s="14">
        <v>0.80000000000000315</v>
      </c>
      <c r="J453" s="100">
        <f t="shared" si="7"/>
        <v>163.34400000000065</v>
      </c>
    </row>
    <row r="454" spans="1:10" ht="18.75" customHeight="1" x14ac:dyDescent="0.25">
      <c r="A454" s="9" t="s">
        <v>9</v>
      </c>
      <c r="B454" s="10">
        <v>62247</v>
      </c>
      <c r="C454" s="10" t="s">
        <v>30</v>
      </c>
      <c r="D454" s="95" t="s">
        <v>470</v>
      </c>
      <c r="E454" s="11" t="s">
        <v>603</v>
      </c>
      <c r="F454" s="17"/>
      <c r="G454" s="18"/>
      <c r="H454" s="13">
        <v>2</v>
      </c>
      <c r="I454" s="14">
        <v>0.50000000000000022</v>
      </c>
      <c r="J454" s="100">
        <f t="shared" si="7"/>
        <v>102.09000000000005</v>
      </c>
    </row>
    <row r="455" spans="1:10" ht="18.75" customHeight="1" x14ac:dyDescent="0.25">
      <c r="A455" s="9" t="s">
        <v>9</v>
      </c>
      <c r="B455" s="10">
        <v>62233</v>
      </c>
      <c r="C455" s="10" t="s">
        <v>10</v>
      </c>
      <c r="D455" s="95" t="s">
        <v>544</v>
      </c>
      <c r="E455" s="11" t="s">
        <v>545</v>
      </c>
      <c r="F455" s="17"/>
      <c r="G455" s="18"/>
      <c r="H455" s="13">
        <v>2</v>
      </c>
      <c r="I455" s="14">
        <v>0.6</v>
      </c>
      <c r="J455" s="100">
        <f t="shared" si="7"/>
        <v>122.508</v>
      </c>
    </row>
    <row r="456" spans="1:10" ht="18.75" customHeight="1" x14ac:dyDescent="0.25">
      <c r="A456" s="9" t="s">
        <v>9</v>
      </c>
      <c r="B456" s="10">
        <v>62053</v>
      </c>
      <c r="C456" s="10" t="s">
        <v>10</v>
      </c>
      <c r="D456" s="95" t="s">
        <v>464</v>
      </c>
      <c r="E456" s="11" t="s">
        <v>465</v>
      </c>
      <c r="F456" s="17" t="s">
        <v>466</v>
      </c>
      <c r="G456" s="18">
        <v>0</v>
      </c>
      <c r="H456" s="13">
        <v>2</v>
      </c>
      <c r="I456" s="14">
        <v>0.84999999999999942</v>
      </c>
      <c r="J456" s="100">
        <f t="shared" si="7"/>
        <v>173.55299999999988</v>
      </c>
    </row>
    <row r="457" spans="1:10" ht="18.75" customHeight="1" x14ac:dyDescent="0.25">
      <c r="A457" s="9" t="s">
        <v>9</v>
      </c>
      <c r="B457" s="10">
        <v>62104</v>
      </c>
      <c r="C457" s="10" t="s">
        <v>30</v>
      </c>
      <c r="D457" s="95" t="s">
        <v>595</v>
      </c>
      <c r="E457" s="11" t="s">
        <v>596</v>
      </c>
      <c r="F457" s="17"/>
      <c r="G457" s="18">
        <v>0</v>
      </c>
      <c r="H457" s="13">
        <v>2</v>
      </c>
      <c r="I457" s="14">
        <v>0.500000000000004</v>
      </c>
      <c r="J457" s="100">
        <f t="shared" si="7"/>
        <v>102.09000000000081</v>
      </c>
    </row>
    <row r="458" spans="1:10" ht="18.75" customHeight="1" x14ac:dyDescent="0.25">
      <c r="A458" s="9" t="s">
        <v>9</v>
      </c>
      <c r="B458" s="10">
        <v>66046</v>
      </c>
      <c r="C458" s="10" t="s">
        <v>10</v>
      </c>
      <c r="D458" s="95" t="s">
        <v>477</v>
      </c>
      <c r="E458" s="11" t="s">
        <v>478</v>
      </c>
      <c r="F458" s="43" t="s">
        <v>479</v>
      </c>
      <c r="G458" s="46" t="s">
        <v>480</v>
      </c>
      <c r="H458" s="13">
        <v>2</v>
      </c>
      <c r="I458" s="14">
        <v>0.8</v>
      </c>
      <c r="J458" s="100">
        <f t="shared" si="7"/>
        <v>163.34400000000002</v>
      </c>
    </row>
    <row r="459" spans="1:10" ht="18.75" customHeight="1" x14ac:dyDescent="0.25">
      <c r="A459" s="9" t="s">
        <v>9</v>
      </c>
      <c r="B459" s="10">
        <v>66046</v>
      </c>
      <c r="C459" s="10" t="s">
        <v>30</v>
      </c>
      <c r="D459" s="95" t="s">
        <v>477</v>
      </c>
      <c r="E459" s="11" t="s">
        <v>558</v>
      </c>
      <c r="F459" s="44" t="s">
        <v>559</v>
      </c>
      <c r="G459" s="46" t="s">
        <v>480</v>
      </c>
      <c r="H459" s="13">
        <v>2</v>
      </c>
      <c r="I459" s="14">
        <v>0.6</v>
      </c>
      <c r="J459" s="100">
        <f t="shared" si="7"/>
        <v>122.508</v>
      </c>
    </row>
    <row r="460" spans="1:10" ht="18.75" customHeight="1" x14ac:dyDescent="0.25">
      <c r="A460" s="9" t="s">
        <v>9</v>
      </c>
      <c r="B460" s="10">
        <v>62212</v>
      </c>
      <c r="C460" s="10" t="s">
        <v>30</v>
      </c>
      <c r="D460" s="95" t="s">
        <v>139</v>
      </c>
      <c r="E460" s="11" t="s">
        <v>140</v>
      </c>
      <c r="F460" s="43"/>
      <c r="G460" s="46"/>
      <c r="H460" s="13">
        <v>3</v>
      </c>
      <c r="I460" s="14">
        <v>3.9031999999999996</v>
      </c>
      <c r="J460" s="100">
        <f t="shared" si="7"/>
        <v>796.95537599999989</v>
      </c>
    </row>
    <row r="461" spans="1:10" ht="18.75" customHeight="1" x14ac:dyDescent="0.25">
      <c r="A461" s="9" t="s">
        <v>9</v>
      </c>
      <c r="B461" s="10">
        <v>60058</v>
      </c>
      <c r="C461" s="10" t="s">
        <v>10</v>
      </c>
      <c r="D461" s="95" t="s">
        <v>954</v>
      </c>
      <c r="E461" s="11" t="s">
        <v>833</v>
      </c>
      <c r="F461" s="43" t="s">
        <v>937</v>
      </c>
      <c r="G461" s="46" t="s">
        <v>955</v>
      </c>
      <c r="H461" s="13">
        <v>2</v>
      </c>
      <c r="I461" s="14">
        <v>8.0000000000001764E-2</v>
      </c>
      <c r="J461" s="100">
        <f t="shared" si="7"/>
        <v>16.334400000000361</v>
      </c>
    </row>
    <row r="462" spans="1:10" ht="18.75" customHeight="1" x14ac:dyDescent="0.25">
      <c r="A462" s="9" t="s">
        <v>9</v>
      </c>
      <c r="B462" s="10">
        <v>60058</v>
      </c>
      <c r="C462" s="10" t="s">
        <v>30</v>
      </c>
      <c r="D462" s="95" t="s">
        <v>954</v>
      </c>
      <c r="E462" s="11" t="s">
        <v>860</v>
      </c>
      <c r="F462" s="43"/>
      <c r="G462" s="46"/>
      <c r="H462" s="13">
        <v>2</v>
      </c>
      <c r="I462" s="14">
        <v>8.0000000000001764E-2</v>
      </c>
      <c r="J462" s="100">
        <f t="shared" si="7"/>
        <v>16.334400000000361</v>
      </c>
    </row>
    <row r="463" spans="1:10" ht="18.75" customHeight="1" x14ac:dyDescent="0.25">
      <c r="A463" s="9" t="s">
        <v>9</v>
      </c>
      <c r="B463" s="10">
        <v>68042</v>
      </c>
      <c r="C463" s="10" t="s">
        <v>10</v>
      </c>
      <c r="D463" s="95" t="s">
        <v>956</v>
      </c>
      <c r="E463" s="11" t="s">
        <v>957</v>
      </c>
      <c r="F463" s="47" t="s">
        <v>159</v>
      </c>
      <c r="G463" s="48" t="s">
        <v>160</v>
      </c>
      <c r="H463" s="13">
        <v>3</v>
      </c>
      <c r="I463" s="49">
        <v>0.01</v>
      </c>
      <c r="J463" s="100">
        <f t="shared" si="7"/>
        <v>2.0418000000000003</v>
      </c>
    </row>
    <row r="464" spans="1:10" ht="18.75" customHeight="1" x14ac:dyDescent="0.25">
      <c r="A464" s="9" t="s">
        <v>9</v>
      </c>
      <c r="B464" s="10">
        <v>60087</v>
      </c>
      <c r="C464" s="10" t="s">
        <v>30</v>
      </c>
      <c r="D464" s="95" t="s">
        <v>968</v>
      </c>
      <c r="E464" s="11" t="s">
        <v>969</v>
      </c>
      <c r="F464" s="43"/>
      <c r="G464" s="46"/>
      <c r="H464" s="13">
        <v>2</v>
      </c>
      <c r="I464" s="14">
        <v>5.8749999999999948E-2</v>
      </c>
      <c r="J464" s="100">
        <f t="shared" si="7"/>
        <v>11.99557499999999</v>
      </c>
    </row>
    <row r="465" spans="1:10" ht="18.75" customHeight="1" x14ac:dyDescent="0.25">
      <c r="A465" s="9" t="s">
        <v>9</v>
      </c>
      <c r="B465" s="10">
        <v>68125</v>
      </c>
      <c r="C465" s="10" t="s">
        <v>10</v>
      </c>
      <c r="D465" s="95" t="s">
        <v>104</v>
      </c>
      <c r="E465" s="11" t="s">
        <v>102</v>
      </c>
      <c r="F465" s="43"/>
      <c r="G465" s="46"/>
      <c r="H465" s="13">
        <v>3</v>
      </c>
      <c r="I465" s="14">
        <v>5.1932820512820523</v>
      </c>
      <c r="J465" s="100">
        <f t="shared" si="7"/>
        <v>1060.3643292307695</v>
      </c>
    </row>
    <row r="466" spans="1:10" ht="18.75" customHeight="1" x14ac:dyDescent="0.25">
      <c r="A466" s="9" t="s">
        <v>9</v>
      </c>
      <c r="B466" s="10">
        <v>62222</v>
      </c>
      <c r="C466" s="10" t="s">
        <v>30</v>
      </c>
      <c r="D466" s="95" t="s">
        <v>182</v>
      </c>
      <c r="E466" s="11" t="s">
        <v>196</v>
      </c>
      <c r="F466" s="43" t="s">
        <v>184</v>
      </c>
      <c r="G466" s="46" t="s">
        <v>185</v>
      </c>
      <c r="H466" s="13">
        <v>3</v>
      </c>
      <c r="I466" s="14">
        <v>2.0349000000000066</v>
      </c>
      <c r="J466" s="100">
        <f t="shared" si="7"/>
        <v>415.48588200000137</v>
      </c>
    </row>
    <row r="467" spans="1:10" ht="18.75" customHeight="1" x14ac:dyDescent="0.25">
      <c r="A467" s="9" t="s">
        <v>9</v>
      </c>
      <c r="B467" s="10">
        <v>62051</v>
      </c>
      <c r="C467" s="10" t="s">
        <v>10</v>
      </c>
      <c r="D467" s="95" t="s">
        <v>976</v>
      </c>
      <c r="E467" s="11" t="s">
        <v>977</v>
      </c>
      <c r="F467" s="43" t="s">
        <v>978</v>
      </c>
      <c r="G467" s="46" t="s">
        <v>979</v>
      </c>
      <c r="H467" s="13">
        <v>2</v>
      </c>
      <c r="I467" s="14">
        <v>4.0990229108043001E-2</v>
      </c>
      <c r="J467" s="100">
        <f t="shared" si="7"/>
        <v>8.3693849792802197</v>
      </c>
    </row>
    <row r="468" spans="1:10" ht="18.75" customHeight="1" x14ac:dyDescent="0.25">
      <c r="A468" s="9" t="s">
        <v>9</v>
      </c>
      <c r="B468" s="10">
        <v>62051</v>
      </c>
      <c r="C468" s="10" t="s">
        <v>30</v>
      </c>
      <c r="D468" s="95" t="s">
        <v>976</v>
      </c>
      <c r="E468" s="11" t="s">
        <v>1015</v>
      </c>
      <c r="F468" s="17"/>
      <c r="G468" s="18"/>
      <c r="H468" s="13">
        <v>2</v>
      </c>
      <c r="I468" s="14">
        <v>2.2948957584471529E-2</v>
      </c>
      <c r="J468" s="100">
        <f t="shared" si="7"/>
        <v>4.6857181595973971</v>
      </c>
    </row>
    <row r="469" spans="1:10" ht="18.75" customHeight="1" x14ac:dyDescent="0.25">
      <c r="A469" s="9" t="s">
        <v>9</v>
      </c>
      <c r="B469" s="10">
        <v>62110</v>
      </c>
      <c r="C469" s="10" t="s">
        <v>10</v>
      </c>
      <c r="D469" s="95" t="s">
        <v>998</v>
      </c>
      <c r="E469" s="11" t="s">
        <v>999</v>
      </c>
      <c r="F469" s="17" t="s">
        <v>1000</v>
      </c>
      <c r="G469" s="18" t="s">
        <v>495</v>
      </c>
      <c r="H469" s="13">
        <v>3</v>
      </c>
      <c r="I469" s="14">
        <v>3.5699999999999996E-2</v>
      </c>
      <c r="J469" s="100">
        <f t="shared" si="7"/>
        <v>7.2892259999999993</v>
      </c>
    </row>
    <row r="470" spans="1:10" ht="18.75" customHeight="1" x14ac:dyDescent="0.25">
      <c r="A470" s="9" t="s">
        <v>9</v>
      </c>
      <c r="B470" s="10">
        <v>62222</v>
      </c>
      <c r="C470" s="10" t="s">
        <v>10</v>
      </c>
      <c r="D470" s="95" t="s">
        <v>182</v>
      </c>
      <c r="E470" s="11" t="s">
        <v>183</v>
      </c>
      <c r="F470" s="17" t="s">
        <v>184</v>
      </c>
      <c r="G470" s="18" t="s">
        <v>185</v>
      </c>
      <c r="H470" s="13">
        <v>3</v>
      </c>
      <c r="I470" s="14">
        <v>3.3915000000000117</v>
      </c>
      <c r="J470" s="100">
        <f t="shared" si="7"/>
        <v>692.47647000000245</v>
      </c>
    </row>
    <row r="471" spans="1:10" ht="18.75" customHeight="1" x14ac:dyDescent="0.25">
      <c r="A471" s="9" t="s">
        <v>9</v>
      </c>
      <c r="B471" s="10">
        <v>68125</v>
      </c>
      <c r="C471" s="10" t="s">
        <v>30</v>
      </c>
      <c r="D471" s="95" t="s">
        <v>104</v>
      </c>
      <c r="E471" s="11" t="s">
        <v>276</v>
      </c>
      <c r="F471" s="17"/>
      <c r="G471" s="18"/>
      <c r="H471" s="13">
        <v>3</v>
      </c>
      <c r="I471" s="14">
        <v>1.9821999999999989</v>
      </c>
      <c r="J471" s="100">
        <f t="shared" si="7"/>
        <v>404.72559599999977</v>
      </c>
    </row>
    <row r="472" spans="1:10" ht="18.75" customHeight="1" x14ac:dyDescent="0.25">
      <c r="A472" s="9" t="s">
        <v>9</v>
      </c>
      <c r="B472" s="10">
        <v>62143</v>
      </c>
      <c r="C472" s="10" t="s">
        <v>10</v>
      </c>
      <c r="D472" s="95" t="s">
        <v>972</v>
      </c>
      <c r="E472" s="11" t="s">
        <v>973</v>
      </c>
      <c r="F472" s="17" t="s">
        <v>974</v>
      </c>
      <c r="G472" s="18" t="s">
        <v>975</v>
      </c>
      <c r="H472" s="13">
        <v>3</v>
      </c>
      <c r="I472" s="14">
        <v>5.0718181818181739E-2</v>
      </c>
      <c r="J472" s="100">
        <f t="shared" si="7"/>
        <v>10.355638363636348</v>
      </c>
    </row>
    <row r="473" spans="1:10" ht="18.75" customHeight="1" x14ac:dyDescent="0.25">
      <c r="A473" s="9" t="s">
        <v>9</v>
      </c>
      <c r="B473" s="10">
        <v>62121</v>
      </c>
      <c r="C473" s="10" t="s">
        <v>10</v>
      </c>
      <c r="D473" s="95" t="s">
        <v>307</v>
      </c>
      <c r="E473" s="11" t="s">
        <v>308</v>
      </c>
      <c r="F473" s="17" t="s">
        <v>260</v>
      </c>
      <c r="G473" s="18" t="s">
        <v>261</v>
      </c>
      <c r="H473" s="13">
        <v>2</v>
      </c>
      <c r="I473" s="14">
        <v>1.5</v>
      </c>
      <c r="J473" s="100">
        <f t="shared" si="7"/>
        <v>306.27</v>
      </c>
    </row>
    <row r="474" spans="1:10" ht="18.75" customHeight="1" x14ac:dyDescent="0.25">
      <c r="A474" s="9" t="s">
        <v>9</v>
      </c>
      <c r="B474" s="10">
        <v>62139</v>
      </c>
      <c r="C474" s="10" t="s">
        <v>10</v>
      </c>
      <c r="D474" s="95" t="s">
        <v>212</v>
      </c>
      <c r="E474" s="11" t="s">
        <v>213</v>
      </c>
      <c r="F474" s="17" t="s">
        <v>163</v>
      </c>
      <c r="G474" s="18" t="s">
        <v>164</v>
      </c>
      <c r="H474" s="13">
        <v>2</v>
      </c>
      <c r="I474" s="14">
        <v>2.4250000000000029</v>
      </c>
      <c r="J474" s="100">
        <f t="shared" si="7"/>
        <v>495.13650000000064</v>
      </c>
    </row>
    <row r="475" spans="1:10" ht="18.75" customHeight="1" x14ac:dyDescent="0.25">
      <c r="A475" s="9" t="s">
        <v>9</v>
      </c>
      <c r="B475" s="10">
        <v>64210</v>
      </c>
      <c r="C475" s="10" t="s">
        <v>10</v>
      </c>
      <c r="D475" s="95" t="s">
        <v>982</v>
      </c>
      <c r="E475" s="11" t="s">
        <v>973</v>
      </c>
      <c r="F475" s="17" t="s">
        <v>983</v>
      </c>
      <c r="G475" s="18" t="s">
        <v>975</v>
      </c>
      <c r="H475" s="13">
        <v>3</v>
      </c>
      <c r="I475" s="14">
        <v>4.641E-2</v>
      </c>
      <c r="J475" s="100">
        <f t="shared" si="7"/>
        <v>9.4759937999999995</v>
      </c>
    </row>
    <row r="476" spans="1:10" ht="18.75" customHeight="1" x14ac:dyDescent="0.25">
      <c r="A476" s="9" t="s">
        <v>9</v>
      </c>
      <c r="B476" s="10">
        <v>64202</v>
      </c>
      <c r="C476" s="10" t="s">
        <v>10</v>
      </c>
      <c r="D476" s="95" t="s">
        <v>984</v>
      </c>
      <c r="E476" s="11" t="s">
        <v>973</v>
      </c>
      <c r="F476" s="17" t="s">
        <v>974</v>
      </c>
      <c r="G476" s="18" t="s">
        <v>975</v>
      </c>
      <c r="H476" s="13">
        <v>3</v>
      </c>
      <c r="I476" s="14">
        <v>4.5726851851851998E-2</v>
      </c>
      <c r="J476" s="100">
        <f t="shared" si="7"/>
        <v>9.3365086111111406</v>
      </c>
    </row>
    <row r="477" spans="1:10" ht="18.75" customHeight="1" x14ac:dyDescent="0.25">
      <c r="A477" s="9" t="s">
        <v>9</v>
      </c>
      <c r="B477" s="10">
        <v>62139</v>
      </c>
      <c r="C477" s="10" t="s">
        <v>30</v>
      </c>
      <c r="D477" s="95" t="s">
        <v>212</v>
      </c>
      <c r="E477" s="11" t="s">
        <v>315</v>
      </c>
      <c r="F477" s="17" t="s">
        <v>163</v>
      </c>
      <c r="G477" s="18" t="s">
        <v>164</v>
      </c>
      <c r="H477" s="13">
        <v>2</v>
      </c>
      <c r="I477" s="14">
        <v>1.4550000000000016</v>
      </c>
      <c r="J477" s="100">
        <f t="shared" si="7"/>
        <v>297.08190000000036</v>
      </c>
    </row>
    <row r="478" spans="1:10" ht="18.75" customHeight="1" x14ac:dyDescent="0.25">
      <c r="A478" s="9" t="s">
        <v>9</v>
      </c>
      <c r="B478" s="10">
        <v>62141</v>
      </c>
      <c r="C478" s="10" t="s">
        <v>10</v>
      </c>
      <c r="D478" s="95" t="s">
        <v>980</v>
      </c>
      <c r="E478" s="11" t="s">
        <v>981</v>
      </c>
      <c r="F478" s="17" t="s">
        <v>974</v>
      </c>
      <c r="G478" s="18" t="s">
        <v>975</v>
      </c>
      <c r="H478" s="13">
        <v>3</v>
      </c>
      <c r="I478" s="14">
        <v>4.6644515765765775E-2</v>
      </c>
      <c r="J478" s="100">
        <f t="shared" si="7"/>
        <v>9.5238772290540563</v>
      </c>
    </row>
    <row r="479" spans="1:10" ht="18.75" customHeight="1" x14ac:dyDescent="0.25">
      <c r="A479" s="9" t="s">
        <v>9</v>
      </c>
      <c r="B479" s="10">
        <v>60085</v>
      </c>
      <c r="C479" s="10" t="s">
        <v>10</v>
      </c>
      <c r="D479" s="95" t="s">
        <v>990</v>
      </c>
      <c r="E479" s="11" t="s">
        <v>959</v>
      </c>
      <c r="F479" s="17" t="s">
        <v>960</v>
      </c>
      <c r="G479" s="18" t="s">
        <v>961</v>
      </c>
      <c r="H479" s="13">
        <v>2</v>
      </c>
      <c r="I479" s="14">
        <v>3.5772727272727518E-2</v>
      </c>
      <c r="J479" s="100">
        <f t="shared" si="7"/>
        <v>7.3040754545455053</v>
      </c>
    </row>
    <row r="480" spans="1:10" ht="18.75" customHeight="1" x14ac:dyDescent="0.25">
      <c r="A480" s="9" t="s">
        <v>9</v>
      </c>
      <c r="B480" s="10">
        <v>60085</v>
      </c>
      <c r="C480" s="10" t="s">
        <v>30</v>
      </c>
      <c r="D480" s="95" t="s">
        <v>990</v>
      </c>
      <c r="E480" s="11" t="s">
        <v>969</v>
      </c>
      <c r="F480" s="17"/>
      <c r="G480" s="18"/>
      <c r="H480" s="13">
        <v>2</v>
      </c>
      <c r="I480" s="14">
        <v>3.3333333333333597E-2</v>
      </c>
      <c r="J480" s="100">
        <f t="shared" si="7"/>
        <v>6.8060000000000542</v>
      </c>
    </row>
    <row r="481" spans="1:10" ht="18.75" customHeight="1" x14ac:dyDescent="0.25">
      <c r="A481" s="9" t="s">
        <v>9</v>
      </c>
      <c r="B481" s="10">
        <v>64208</v>
      </c>
      <c r="C481" s="10" t="s">
        <v>10</v>
      </c>
      <c r="D481" s="95" t="s">
        <v>991</v>
      </c>
      <c r="E481" s="11" t="s">
        <v>973</v>
      </c>
      <c r="F481" s="17" t="s">
        <v>983</v>
      </c>
      <c r="G481" s="18" t="s">
        <v>975</v>
      </c>
      <c r="H481" s="13">
        <v>3</v>
      </c>
      <c r="I481" s="14">
        <v>3.6550000000000263E-2</v>
      </c>
      <c r="J481" s="100">
        <f t="shared" si="7"/>
        <v>7.4627790000000536</v>
      </c>
    </row>
    <row r="482" spans="1:10" ht="18.75" customHeight="1" x14ac:dyDescent="0.25">
      <c r="A482" s="9" t="s">
        <v>9</v>
      </c>
      <c r="B482" s="10">
        <v>60081</v>
      </c>
      <c r="C482" s="10" t="s">
        <v>30</v>
      </c>
      <c r="D482" s="95" t="s">
        <v>195</v>
      </c>
      <c r="E482" s="11" t="s">
        <v>196</v>
      </c>
      <c r="F482" s="17" t="s">
        <v>184</v>
      </c>
      <c r="G482" s="18" t="s">
        <v>185</v>
      </c>
      <c r="H482" s="13">
        <v>2</v>
      </c>
      <c r="I482" s="14">
        <v>2.5</v>
      </c>
      <c r="J482" s="100">
        <f t="shared" si="7"/>
        <v>510.45000000000005</v>
      </c>
    </row>
    <row r="483" spans="1:10" ht="18.75" customHeight="1" x14ac:dyDescent="0.25">
      <c r="A483" s="9" t="s">
        <v>9</v>
      </c>
      <c r="B483" s="10">
        <v>60081</v>
      </c>
      <c r="C483" s="10" t="s">
        <v>10</v>
      </c>
      <c r="D483" s="95" t="s">
        <v>195</v>
      </c>
      <c r="E483" s="11" t="s">
        <v>229</v>
      </c>
      <c r="F483" s="17" t="s">
        <v>184</v>
      </c>
      <c r="G483" s="18" t="s">
        <v>185</v>
      </c>
      <c r="H483" s="13">
        <v>2</v>
      </c>
      <c r="I483" s="14">
        <v>1.5</v>
      </c>
      <c r="J483" s="100">
        <f t="shared" si="7"/>
        <v>306.27</v>
      </c>
    </row>
    <row r="484" spans="1:10" ht="18.75" customHeight="1" x14ac:dyDescent="0.25">
      <c r="A484" s="9" t="s">
        <v>9</v>
      </c>
      <c r="B484" s="10">
        <v>60091</v>
      </c>
      <c r="C484" s="10" t="s">
        <v>10</v>
      </c>
      <c r="D484" s="95" t="s">
        <v>240</v>
      </c>
      <c r="E484" s="11" t="s">
        <v>241</v>
      </c>
      <c r="F484" s="17"/>
      <c r="G484" s="18"/>
      <c r="H484" s="13">
        <v>2</v>
      </c>
      <c r="I484" s="14">
        <v>2.0000000000000071</v>
      </c>
      <c r="J484" s="100">
        <f t="shared" si="7"/>
        <v>408.36000000000149</v>
      </c>
    </row>
    <row r="485" spans="1:10" ht="18.75" customHeight="1" x14ac:dyDescent="0.25">
      <c r="A485" s="9" t="s">
        <v>9</v>
      </c>
      <c r="B485" s="10">
        <v>64198</v>
      </c>
      <c r="C485" s="10" t="s">
        <v>10</v>
      </c>
      <c r="D485" s="95" t="s">
        <v>988</v>
      </c>
      <c r="E485" s="11" t="s">
        <v>989</v>
      </c>
      <c r="F485" s="17" t="s">
        <v>983</v>
      </c>
      <c r="G485" s="18" t="s">
        <v>975</v>
      </c>
      <c r="H485" s="13">
        <v>3</v>
      </c>
      <c r="I485" s="14">
        <v>4.3439963391094835E-2</v>
      </c>
      <c r="J485" s="100">
        <f t="shared" si="7"/>
        <v>8.8695717251937438</v>
      </c>
    </row>
    <row r="486" spans="1:10" ht="18.75" customHeight="1" x14ac:dyDescent="0.25">
      <c r="A486" s="9" t="s">
        <v>9</v>
      </c>
      <c r="B486" s="10">
        <v>62183</v>
      </c>
      <c r="C486" s="10" t="s">
        <v>10</v>
      </c>
      <c r="D486" s="95" t="s">
        <v>101</v>
      </c>
      <c r="E486" s="11" t="s">
        <v>102</v>
      </c>
      <c r="F486" s="17"/>
      <c r="G486" s="18"/>
      <c r="H486" s="13">
        <v>3</v>
      </c>
      <c r="I486" s="14">
        <v>5.1932820512820523</v>
      </c>
      <c r="J486" s="100">
        <f t="shared" si="7"/>
        <v>1060.3643292307695</v>
      </c>
    </row>
    <row r="487" spans="1:10" ht="18.75" customHeight="1" x14ac:dyDescent="0.25">
      <c r="A487" s="9" t="s">
        <v>9</v>
      </c>
      <c r="B487" s="10">
        <v>64229</v>
      </c>
      <c r="C487" s="10" t="s">
        <v>10</v>
      </c>
      <c r="D487" s="95" t="s">
        <v>1016</v>
      </c>
      <c r="E487" s="11" t="s">
        <v>977</v>
      </c>
      <c r="F487" s="17"/>
      <c r="G487" s="18"/>
      <c r="H487" s="13">
        <v>2</v>
      </c>
      <c r="I487" s="14">
        <v>2.0618556701030927E-2</v>
      </c>
      <c r="J487" s="100">
        <f t="shared" si="7"/>
        <v>4.2098969072164953</v>
      </c>
    </row>
    <row r="488" spans="1:10" ht="18.75" customHeight="1" x14ac:dyDescent="0.25">
      <c r="A488" s="9" t="s">
        <v>9</v>
      </c>
      <c r="B488" s="10">
        <v>64229</v>
      </c>
      <c r="C488" s="10" t="s">
        <v>30</v>
      </c>
      <c r="D488" s="95" t="s">
        <v>1016</v>
      </c>
      <c r="E488" s="11" t="s">
        <v>1015</v>
      </c>
      <c r="F488" s="17"/>
      <c r="G488" s="18"/>
      <c r="H488" s="13">
        <v>2</v>
      </c>
      <c r="I488" s="14">
        <v>1.2371134020618556E-2</v>
      </c>
      <c r="J488" s="100">
        <f t="shared" si="7"/>
        <v>2.5259381443298969</v>
      </c>
    </row>
    <row r="489" spans="1:10" ht="18.75" customHeight="1" x14ac:dyDescent="0.25">
      <c r="A489" s="9" t="s">
        <v>9</v>
      </c>
      <c r="B489" s="10">
        <v>64230</v>
      </c>
      <c r="C489" s="10" t="s">
        <v>10</v>
      </c>
      <c r="D489" s="95" t="s">
        <v>1008</v>
      </c>
      <c r="E489" s="11" t="s">
        <v>977</v>
      </c>
      <c r="F489" s="17" t="s">
        <v>1009</v>
      </c>
      <c r="G489" s="18" t="s">
        <v>1010</v>
      </c>
      <c r="H489" s="13">
        <v>2</v>
      </c>
      <c r="I489" s="14">
        <v>2.7249767243953331E-2</v>
      </c>
      <c r="J489" s="100">
        <f t="shared" si="7"/>
        <v>5.5638574758703916</v>
      </c>
    </row>
    <row r="490" spans="1:10" ht="18.75" customHeight="1" x14ac:dyDescent="0.25">
      <c r="A490" s="9" t="s">
        <v>9</v>
      </c>
      <c r="B490" s="10">
        <v>62099</v>
      </c>
      <c r="C490" s="10" t="s">
        <v>10</v>
      </c>
      <c r="D490" s="95" t="s">
        <v>1011</v>
      </c>
      <c r="E490" s="11" t="s">
        <v>1012</v>
      </c>
      <c r="F490" s="43"/>
      <c r="G490" s="46"/>
      <c r="H490" s="13">
        <v>3</v>
      </c>
      <c r="I490" s="14">
        <v>3.2022135416666639E-2</v>
      </c>
      <c r="J490" s="100">
        <f t="shared" si="7"/>
        <v>6.5382796093749942</v>
      </c>
    </row>
    <row r="491" spans="1:10" ht="18.75" customHeight="1" x14ac:dyDescent="0.25">
      <c r="A491" s="9" t="s">
        <v>9</v>
      </c>
      <c r="B491" s="10">
        <v>64230</v>
      </c>
      <c r="C491" s="10" t="s">
        <v>30</v>
      </c>
      <c r="D491" s="95" t="s">
        <v>1008</v>
      </c>
      <c r="E491" s="11" t="s">
        <v>1015</v>
      </c>
      <c r="F491" s="43"/>
      <c r="G491" s="46"/>
      <c r="H491" s="13">
        <v>2</v>
      </c>
      <c r="I491" s="14">
        <v>1.6349860346372001E-2</v>
      </c>
      <c r="J491" s="100">
        <f t="shared" si="7"/>
        <v>3.3383144855222353</v>
      </c>
    </row>
    <row r="492" spans="1:10" ht="18.75" customHeight="1" x14ac:dyDescent="0.25">
      <c r="A492" s="9" t="s">
        <v>9</v>
      </c>
      <c r="B492" s="10">
        <v>64237</v>
      </c>
      <c r="C492" s="10" t="s">
        <v>10</v>
      </c>
      <c r="D492" s="95" t="s">
        <v>1014</v>
      </c>
      <c r="E492" s="11" t="s">
        <v>977</v>
      </c>
      <c r="F492" s="43"/>
      <c r="G492" s="46"/>
      <c r="H492" s="13">
        <v>2</v>
      </c>
      <c r="I492" s="14">
        <v>2.3E-2</v>
      </c>
      <c r="J492" s="100">
        <f t="shared" si="7"/>
        <v>4.6961399999999998</v>
      </c>
    </row>
    <row r="493" spans="1:10" ht="18.75" customHeight="1" x14ac:dyDescent="0.25">
      <c r="A493" s="9" t="s">
        <v>9</v>
      </c>
      <c r="B493" s="10">
        <v>64200</v>
      </c>
      <c r="C493" s="10" t="s">
        <v>10</v>
      </c>
      <c r="D493" s="95" t="s">
        <v>1029</v>
      </c>
      <c r="E493" s="11" t="s">
        <v>999</v>
      </c>
      <c r="F493" s="43" t="s">
        <v>494</v>
      </c>
      <c r="G493" s="46" t="s">
        <v>495</v>
      </c>
      <c r="H493" s="13">
        <v>3</v>
      </c>
      <c r="I493" s="14">
        <v>1.1899999999999999E-2</v>
      </c>
      <c r="J493" s="100">
        <f t="shared" si="7"/>
        <v>2.4297420000000001</v>
      </c>
    </row>
    <row r="494" spans="1:10" ht="18.75" customHeight="1" x14ac:dyDescent="0.25">
      <c r="A494" s="9" t="s">
        <v>9</v>
      </c>
      <c r="B494" s="10">
        <v>64237</v>
      </c>
      <c r="C494" s="10" t="s">
        <v>30</v>
      </c>
      <c r="D494" s="95" t="s">
        <v>1014</v>
      </c>
      <c r="E494" s="11" t="s">
        <v>1015</v>
      </c>
      <c r="F494" s="43"/>
      <c r="G494" s="46"/>
      <c r="H494" s="13">
        <v>2</v>
      </c>
      <c r="I494" s="14">
        <v>1.3800000000000002E-2</v>
      </c>
      <c r="J494" s="100">
        <f t="shared" si="7"/>
        <v>2.8176840000000003</v>
      </c>
    </row>
    <row r="495" spans="1:10" ht="18.75" customHeight="1" x14ac:dyDescent="0.25">
      <c r="A495" s="9" t="s">
        <v>9</v>
      </c>
      <c r="B495" s="10">
        <v>62183</v>
      </c>
      <c r="C495" s="10" t="s">
        <v>30</v>
      </c>
      <c r="D495" s="95" t="s">
        <v>101</v>
      </c>
      <c r="E495" s="11" t="s">
        <v>276</v>
      </c>
      <c r="F495" s="43"/>
      <c r="G495" s="46"/>
      <c r="H495" s="13">
        <v>3</v>
      </c>
      <c r="I495" s="14">
        <v>1.9821999999999989</v>
      </c>
      <c r="J495" s="100">
        <f t="shared" si="7"/>
        <v>404.72559599999977</v>
      </c>
    </row>
    <row r="496" spans="1:10" ht="18.75" customHeight="1" x14ac:dyDescent="0.25">
      <c r="A496" s="9" t="s">
        <v>9</v>
      </c>
      <c r="B496" s="10">
        <v>62041</v>
      </c>
      <c r="C496" s="10" t="s">
        <v>10</v>
      </c>
      <c r="D496" s="95" t="s">
        <v>1018</v>
      </c>
      <c r="E496" s="11" t="s">
        <v>1019</v>
      </c>
      <c r="F496" s="47" t="s">
        <v>159</v>
      </c>
      <c r="G496" s="48" t="s">
        <v>160</v>
      </c>
      <c r="H496" s="13" t="s">
        <v>1020</v>
      </c>
      <c r="I496" s="50">
        <v>2.5999999999999999E-3</v>
      </c>
      <c r="J496" s="100">
        <f t="shared" si="7"/>
        <v>0.53086800000000001</v>
      </c>
    </row>
    <row r="497" spans="1:10" ht="18.75" customHeight="1" x14ac:dyDescent="0.25">
      <c r="A497" s="9" t="s">
        <v>9</v>
      </c>
      <c r="B497" s="10">
        <v>62088</v>
      </c>
      <c r="C497" s="10" t="s">
        <v>10</v>
      </c>
      <c r="D497" s="95" t="s">
        <v>1013</v>
      </c>
      <c r="E497" s="11" t="s">
        <v>977</v>
      </c>
      <c r="F497" s="43" t="s">
        <v>1009</v>
      </c>
      <c r="G497" s="46" t="s">
        <v>1010</v>
      </c>
      <c r="H497" s="13">
        <v>4</v>
      </c>
      <c r="I497" s="14">
        <v>3.4499999999999996E-2</v>
      </c>
      <c r="J497" s="100">
        <f t="shared" si="7"/>
        <v>7.0442099999999996</v>
      </c>
    </row>
    <row r="498" spans="1:10" ht="18.75" customHeight="1" x14ac:dyDescent="0.25">
      <c r="A498" s="9" t="s">
        <v>9</v>
      </c>
      <c r="B498" s="10">
        <v>62088</v>
      </c>
      <c r="C498" s="10" t="s">
        <v>30</v>
      </c>
      <c r="D498" s="95" t="s">
        <v>1013</v>
      </c>
      <c r="E498" s="11" t="s">
        <v>1015</v>
      </c>
      <c r="F498" s="43"/>
      <c r="G498" s="46"/>
      <c r="H498" s="13">
        <v>4</v>
      </c>
      <c r="I498" s="14">
        <v>2.0699999999999996E-2</v>
      </c>
      <c r="J498" s="100">
        <f t="shared" si="7"/>
        <v>4.2265259999999998</v>
      </c>
    </row>
    <row r="499" spans="1:10" ht="18.75" customHeight="1" x14ac:dyDescent="0.25">
      <c r="A499" s="9" t="s">
        <v>9</v>
      </c>
      <c r="B499" s="10">
        <v>66007</v>
      </c>
      <c r="C499" s="10" t="s">
        <v>10</v>
      </c>
      <c r="D499" s="95" t="s">
        <v>1007</v>
      </c>
      <c r="E499" s="11" t="s">
        <v>1004</v>
      </c>
      <c r="F499" s="43" t="s">
        <v>1005</v>
      </c>
      <c r="G499" s="46" t="s">
        <v>1006</v>
      </c>
      <c r="H499" s="13">
        <v>2</v>
      </c>
      <c r="I499" s="14">
        <v>2.7490210327828259E-2</v>
      </c>
      <c r="J499" s="100">
        <f t="shared" si="7"/>
        <v>5.6129511447359741</v>
      </c>
    </row>
    <row r="500" spans="1:10" ht="18.75" customHeight="1" x14ac:dyDescent="0.25">
      <c r="A500" s="9" t="s">
        <v>9</v>
      </c>
      <c r="B500" s="10">
        <v>66007</v>
      </c>
      <c r="C500" s="10" t="s">
        <v>30</v>
      </c>
      <c r="D500" s="95" t="s">
        <v>1007</v>
      </c>
      <c r="E500" s="11" t="s">
        <v>1021</v>
      </c>
      <c r="F500" s="43"/>
      <c r="G500" s="46"/>
      <c r="H500" s="13">
        <v>2</v>
      </c>
      <c r="I500" s="14">
        <v>1.6494126196696955E-2</v>
      </c>
      <c r="J500" s="100">
        <f t="shared" si="7"/>
        <v>3.3677706868415842</v>
      </c>
    </row>
    <row r="501" spans="1:10" ht="18.75" customHeight="1" x14ac:dyDescent="0.25">
      <c r="A501" s="9" t="s">
        <v>9</v>
      </c>
      <c r="B501" s="10">
        <v>62099</v>
      </c>
      <c r="C501" s="10" t="s">
        <v>30</v>
      </c>
      <c r="D501" s="95" t="s">
        <v>1011</v>
      </c>
      <c r="E501" s="11" t="s">
        <v>1022</v>
      </c>
      <c r="F501" s="43"/>
      <c r="G501" s="46"/>
      <c r="H501" s="13">
        <v>3</v>
      </c>
      <c r="I501" s="14">
        <v>1.9213281249999981E-2</v>
      </c>
      <c r="J501" s="100">
        <f t="shared" si="7"/>
        <v>3.9229677656249962</v>
      </c>
    </row>
    <row r="502" spans="1:10" ht="18.75" customHeight="1" x14ac:dyDescent="0.25">
      <c r="A502" s="9" t="s">
        <v>9</v>
      </c>
      <c r="B502" s="10">
        <v>66005</v>
      </c>
      <c r="C502" s="10" t="s">
        <v>10</v>
      </c>
      <c r="D502" s="95" t="s">
        <v>1003</v>
      </c>
      <c r="E502" s="11" t="s">
        <v>1004</v>
      </c>
      <c r="F502" s="43" t="s">
        <v>1005</v>
      </c>
      <c r="G502" s="46" t="s">
        <v>1006</v>
      </c>
      <c r="H502" s="13">
        <v>4</v>
      </c>
      <c r="I502" s="14">
        <v>4.1205360163511361E-2</v>
      </c>
      <c r="J502" s="100">
        <f t="shared" si="7"/>
        <v>8.41331043818575</v>
      </c>
    </row>
    <row r="503" spans="1:10" ht="18.75" customHeight="1" x14ac:dyDescent="0.25">
      <c r="A503" s="9" t="s">
        <v>9</v>
      </c>
      <c r="B503" s="10">
        <v>60026</v>
      </c>
      <c r="C503" s="10" t="s">
        <v>10</v>
      </c>
      <c r="D503" s="95" t="s">
        <v>1023</v>
      </c>
      <c r="E503" s="11" t="s">
        <v>1024</v>
      </c>
      <c r="F503" s="43"/>
      <c r="G503" s="46"/>
      <c r="H503" s="13">
        <v>3</v>
      </c>
      <c r="I503" s="51">
        <v>1.7602222230667087E-2</v>
      </c>
      <c r="J503" s="100">
        <f t="shared" si="7"/>
        <v>3.594021735057606</v>
      </c>
    </row>
    <row r="504" spans="1:10" ht="18.75" customHeight="1" x14ac:dyDescent="0.25">
      <c r="A504" s="9" t="s">
        <v>9</v>
      </c>
      <c r="B504" s="10">
        <v>60029</v>
      </c>
      <c r="C504" s="10" t="s">
        <v>10</v>
      </c>
      <c r="D504" s="95" t="s">
        <v>576</v>
      </c>
      <c r="E504" s="11" t="s">
        <v>577</v>
      </c>
      <c r="F504" s="43"/>
      <c r="G504" s="46"/>
      <c r="H504" s="13">
        <v>2</v>
      </c>
      <c r="I504" s="14">
        <v>0.56666666666666798</v>
      </c>
      <c r="J504" s="100">
        <f t="shared" si="7"/>
        <v>115.70200000000027</v>
      </c>
    </row>
    <row r="505" spans="1:10" ht="18.75" customHeight="1" x14ac:dyDescent="0.25">
      <c r="A505" s="9" t="s">
        <v>9</v>
      </c>
      <c r="B505" s="10">
        <v>64238</v>
      </c>
      <c r="C505" s="10" t="s">
        <v>10</v>
      </c>
      <c r="D505" s="95" t="s">
        <v>1026</v>
      </c>
      <c r="E505" s="11" t="s">
        <v>1027</v>
      </c>
      <c r="F505" s="47" t="s">
        <v>159</v>
      </c>
      <c r="G505" s="48" t="s">
        <v>160</v>
      </c>
      <c r="H505" s="13" t="s">
        <v>1020</v>
      </c>
      <c r="I505" s="50">
        <v>2E-3</v>
      </c>
      <c r="J505" s="100">
        <f t="shared" si="7"/>
        <v>0.40836</v>
      </c>
    </row>
    <row r="506" spans="1:10" ht="18.75" customHeight="1" x14ac:dyDescent="0.25">
      <c r="A506" s="9" t="s">
        <v>9</v>
      </c>
      <c r="B506" s="10">
        <v>66005</v>
      </c>
      <c r="C506" s="10" t="s">
        <v>30</v>
      </c>
      <c r="D506" s="95" t="s">
        <v>1003</v>
      </c>
      <c r="E506" s="11" t="s">
        <v>1021</v>
      </c>
      <c r="F506" s="43"/>
      <c r="G506" s="46"/>
      <c r="H506" s="13">
        <v>4</v>
      </c>
      <c r="I506" s="14">
        <v>2.4723216098106817E-2</v>
      </c>
      <c r="J506" s="100">
        <f t="shared" si="7"/>
        <v>5.0479862629114498</v>
      </c>
    </row>
    <row r="507" spans="1:10" ht="18.75" customHeight="1" x14ac:dyDescent="0.25">
      <c r="A507" s="9" t="s">
        <v>9</v>
      </c>
      <c r="B507" s="10">
        <v>62263</v>
      </c>
      <c r="C507" s="10" t="s">
        <v>10</v>
      </c>
      <c r="D507" s="95" t="s">
        <v>1028</v>
      </c>
      <c r="E507" s="11" t="s">
        <v>1024</v>
      </c>
      <c r="F507" s="43"/>
      <c r="G507" s="46"/>
      <c r="H507" s="13">
        <v>3</v>
      </c>
      <c r="I507" s="14">
        <v>1.5573788841807946E-2</v>
      </c>
      <c r="J507" s="100">
        <f t="shared" si="7"/>
        <v>3.1798562057203466</v>
      </c>
    </row>
    <row r="508" spans="1:10" ht="18.75" customHeight="1" x14ac:dyDescent="0.25">
      <c r="A508" s="9" t="s">
        <v>9</v>
      </c>
      <c r="B508" s="10">
        <v>62055</v>
      </c>
      <c r="C508" s="10" t="s">
        <v>10</v>
      </c>
      <c r="D508" s="95" t="s">
        <v>584</v>
      </c>
      <c r="E508" s="11" t="s">
        <v>585</v>
      </c>
      <c r="F508" s="47"/>
      <c r="G508" s="48"/>
      <c r="H508" s="13">
        <v>2</v>
      </c>
      <c r="I508" s="14">
        <v>0.55000000000000004</v>
      </c>
      <c r="J508" s="100">
        <f t="shared" si="7"/>
        <v>112.29900000000001</v>
      </c>
    </row>
    <row r="509" spans="1:10" ht="18.75" customHeight="1" x14ac:dyDescent="0.25">
      <c r="A509" s="9" t="s">
        <v>9</v>
      </c>
      <c r="B509" s="10">
        <v>62056</v>
      </c>
      <c r="C509" s="10" t="s">
        <v>10</v>
      </c>
      <c r="D509" s="95" t="s">
        <v>540</v>
      </c>
      <c r="E509" s="11" t="s">
        <v>541</v>
      </c>
      <c r="F509" s="47"/>
      <c r="G509" s="48"/>
      <c r="H509" s="13">
        <v>2</v>
      </c>
      <c r="I509" s="14">
        <v>0.6</v>
      </c>
      <c r="J509" s="100">
        <f t="shared" si="7"/>
        <v>122.508</v>
      </c>
    </row>
    <row r="510" spans="1:10" ht="18.75" customHeight="1" x14ac:dyDescent="0.25">
      <c r="A510" s="9" t="s">
        <v>9</v>
      </c>
      <c r="B510" s="10">
        <v>68043</v>
      </c>
      <c r="C510" s="10" t="s">
        <v>10</v>
      </c>
      <c r="D510" s="95" t="s">
        <v>1030</v>
      </c>
      <c r="E510" s="11" t="s">
        <v>1031</v>
      </c>
      <c r="F510" s="47" t="s">
        <v>159</v>
      </c>
      <c r="G510" s="48" t="s">
        <v>160</v>
      </c>
      <c r="H510" s="13">
        <v>3</v>
      </c>
      <c r="I510" s="49">
        <v>1.2E-2</v>
      </c>
      <c r="J510" s="100">
        <f t="shared" si="7"/>
        <v>2.4501600000000003</v>
      </c>
    </row>
    <row r="511" spans="1:10" ht="18.75" customHeight="1" x14ac:dyDescent="0.25">
      <c r="A511" s="9" t="s">
        <v>9</v>
      </c>
      <c r="B511" s="10">
        <v>64026</v>
      </c>
      <c r="C511" s="10" t="s">
        <v>10</v>
      </c>
      <c r="D511" s="95" t="s">
        <v>1032</v>
      </c>
      <c r="E511" s="11" t="s">
        <v>1033</v>
      </c>
      <c r="F511" s="52"/>
      <c r="G511" s="53"/>
      <c r="H511" s="13">
        <v>5</v>
      </c>
      <c r="I511" s="14">
        <v>1.256E-2</v>
      </c>
      <c r="J511" s="100">
        <f t="shared" si="7"/>
        <v>2.5645008000000002</v>
      </c>
    </row>
    <row r="512" spans="1:10" ht="18.75" customHeight="1" x14ac:dyDescent="0.25">
      <c r="A512" s="9" t="s">
        <v>9</v>
      </c>
      <c r="B512" s="10">
        <v>68077</v>
      </c>
      <c r="C512" s="10" t="s">
        <v>10</v>
      </c>
      <c r="D512" s="95" t="s">
        <v>1034</v>
      </c>
      <c r="E512" s="11" t="s">
        <v>1035</v>
      </c>
      <c r="F512" s="47" t="s">
        <v>159</v>
      </c>
      <c r="G512" s="48" t="s">
        <v>160</v>
      </c>
      <c r="H512" s="13" t="s">
        <v>1020</v>
      </c>
      <c r="I512" s="91">
        <v>0.61</v>
      </c>
      <c r="J512" s="100">
        <f t="shared" si="7"/>
        <v>124.5498</v>
      </c>
    </row>
    <row r="513" spans="1:11" s="24" customFormat="1" ht="18.75" customHeight="1" x14ac:dyDescent="0.25">
      <c r="A513" s="9" t="s">
        <v>9</v>
      </c>
      <c r="B513" s="10">
        <v>64095</v>
      </c>
      <c r="C513" s="10" t="s">
        <v>10</v>
      </c>
      <c r="D513" s="95" t="s">
        <v>1036</v>
      </c>
      <c r="E513" s="11" t="s">
        <v>1037</v>
      </c>
      <c r="F513" s="11" t="s">
        <v>159</v>
      </c>
      <c r="G513" s="12" t="s">
        <v>160</v>
      </c>
      <c r="H513" s="13" t="s">
        <v>1020</v>
      </c>
      <c r="I513" s="91">
        <v>2E-3</v>
      </c>
      <c r="J513" s="100">
        <f t="shared" si="7"/>
        <v>0.40836</v>
      </c>
      <c r="K513" s="15"/>
    </row>
    <row r="514" spans="1:11" ht="18.75" customHeight="1" x14ac:dyDescent="0.25">
      <c r="A514" s="9" t="s">
        <v>9</v>
      </c>
      <c r="B514" s="29">
        <v>62332</v>
      </c>
      <c r="C514" s="29" t="s">
        <v>10</v>
      </c>
      <c r="D514" s="97" t="s">
        <v>1038</v>
      </c>
      <c r="E514" s="54" t="s">
        <v>1039</v>
      </c>
      <c r="F514" s="55"/>
      <c r="G514" s="32"/>
      <c r="H514" s="29" t="s">
        <v>1040</v>
      </c>
      <c r="I514" s="10">
        <v>46.96</v>
      </c>
      <c r="J514" s="100">
        <f t="shared" si="7"/>
        <v>9588.2928000000011</v>
      </c>
    </row>
  </sheetData>
  <autoFilter ref="A1:I514" xr:uid="{9F0771EB-EDD3-4647-95D9-7F207B83E78B}">
    <sortState xmlns:xlrd2="http://schemas.microsoft.com/office/spreadsheetml/2017/richdata2" ref="A65:I443">
      <sortCondition ref="B1:B514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0422-EBDF-4862-8449-289216D05A0A}">
  <dimension ref="A1:N212"/>
  <sheetViews>
    <sheetView showGridLines="0" tabSelected="1" zoomScaleNormal="100" workbookViewId="0">
      <pane ySplit="1" topLeftCell="A19" activePane="bottomLeft" state="frozen"/>
      <selection activeCell="D22" sqref="D22"/>
      <selection pane="bottomLeft" activeCell="N73" sqref="N73"/>
    </sheetView>
  </sheetViews>
  <sheetFormatPr defaultRowHeight="15" x14ac:dyDescent="0.25"/>
  <cols>
    <col min="1" max="1" width="9.140625" style="56"/>
    <col min="2" max="2" width="14" style="56" customWidth="1"/>
    <col min="3" max="3" width="14.42578125" style="56" customWidth="1"/>
    <col min="4" max="4" width="61.7109375" style="56" customWidth="1"/>
    <col min="5" max="5" width="30.85546875" style="56" customWidth="1"/>
    <col min="6" max="6" width="21.85546875" style="56" customWidth="1"/>
    <col min="7" max="7" width="16.85546875" style="56" customWidth="1"/>
    <col min="8" max="8" width="6" style="56" bestFit="1" customWidth="1"/>
    <col min="9" max="9" width="12.140625" style="104" bestFit="1" customWidth="1"/>
    <col min="10" max="10" width="15.42578125" style="56" bestFit="1" customWidth="1"/>
    <col min="11" max="16384" width="9.140625" style="56"/>
  </cols>
  <sheetData>
    <row r="1" spans="1:9" s="68" customFormat="1" ht="17.25" customHeight="1" x14ac:dyDescent="0.25">
      <c r="A1" s="73" t="s">
        <v>0</v>
      </c>
      <c r="B1" s="3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0" t="s">
        <v>7</v>
      </c>
      <c r="H1" s="69" t="s">
        <v>8</v>
      </c>
      <c r="I1" s="102" t="s">
        <v>1428</v>
      </c>
    </row>
    <row r="2" spans="1:9" ht="18" customHeight="1" x14ac:dyDescent="0.25">
      <c r="A2" s="60" t="s">
        <v>1042</v>
      </c>
      <c r="B2" s="60">
        <v>60008</v>
      </c>
      <c r="C2" s="60" t="s">
        <v>10</v>
      </c>
      <c r="D2" s="59" t="s">
        <v>1406</v>
      </c>
      <c r="E2" s="11" t="s">
        <v>1405</v>
      </c>
      <c r="F2" s="17" t="s">
        <v>1404</v>
      </c>
      <c r="G2" s="58">
        <v>2</v>
      </c>
      <c r="H2" s="57">
        <v>3.5</v>
      </c>
      <c r="I2" s="103">
        <f>H2*219.92</f>
        <v>769.71999999999991</v>
      </c>
    </row>
    <row r="3" spans="1:9" ht="18" customHeight="1" x14ac:dyDescent="0.25">
      <c r="A3" s="60" t="s">
        <v>1042</v>
      </c>
      <c r="B3" s="60">
        <v>60025</v>
      </c>
      <c r="C3" s="60" t="s">
        <v>10</v>
      </c>
      <c r="D3" s="59" t="s">
        <v>1403</v>
      </c>
      <c r="E3" s="11" t="s">
        <v>1402</v>
      </c>
      <c r="F3" s="17" t="s">
        <v>318</v>
      </c>
      <c r="G3" s="58">
        <v>2</v>
      </c>
      <c r="H3" s="57">
        <v>1.8</v>
      </c>
      <c r="I3" s="103">
        <f t="shared" ref="I3:I66" si="0">H3*219.92</f>
        <v>395.85599999999999</v>
      </c>
    </row>
    <row r="4" spans="1:9" ht="19.5" customHeight="1" x14ac:dyDescent="0.25">
      <c r="A4" s="60" t="s">
        <v>1042</v>
      </c>
      <c r="B4" s="60">
        <v>60039</v>
      </c>
      <c r="C4" s="60" t="s">
        <v>10</v>
      </c>
      <c r="D4" s="59" t="s">
        <v>1399</v>
      </c>
      <c r="E4" s="11" t="s">
        <v>1400</v>
      </c>
      <c r="F4" s="17" t="s">
        <v>1397</v>
      </c>
      <c r="G4" s="58">
        <v>2</v>
      </c>
      <c r="H4" s="57">
        <v>0.29999999999999949</v>
      </c>
      <c r="I4" s="103">
        <f t="shared" si="0"/>
        <v>65.975999999999885</v>
      </c>
    </row>
    <row r="5" spans="1:9" ht="18" customHeight="1" x14ac:dyDescent="0.25">
      <c r="A5" s="60" t="s">
        <v>1042</v>
      </c>
      <c r="B5" s="60">
        <v>60039</v>
      </c>
      <c r="C5" s="60" t="s">
        <v>30</v>
      </c>
      <c r="D5" s="59" t="s">
        <v>1399</v>
      </c>
      <c r="E5" s="11" t="s">
        <v>1398</v>
      </c>
      <c r="F5" s="17" t="s">
        <v>1397</v>
      </c>
      <c r="G5" s="58">
        <v>2</v>
      </c>
      <c r="H5" s="57">
        <v>0.44999999999999601</v>
      </c>
      <c r="I5" s="103">
        <f t="shared" si="0"/>
        <v>98.963999999999118</v>
      </c>
    </row>
    <row r="6" spans="1:9" ht="18" customHeight="1" x14ac:dyDescent="0.25">
      <c r="A6" s="60" t="s">
        <v>1042</v>
      </c>
      <c r="B6" s="60">
        <v>60041</v>
      </c>
      <c r="C6" s="60" t="s">
        <v>10</v>
      </c>
      <c r="D6" s="59" t="s">
        <v>1394</v>
      </c>
      <c r="E6" s="11" t="s">
        <v>1396</v>
      </c>
      <c r="F6" s="61" t="s">
        <v>1395</v>
      </c>
      <c r="G6" s="58">
        <v>2</v>
      </c>
      <c r="H6" s="57">
        <v>0.35175438596491204</v>
      </c>
      <c r="I6" s="103">
        <f t="shared" si="0"/>
        <v>77.357824561403447</v>
      </c>
    </row>
    <row r="7" spans="1:9" ht="18" customHeight="1" x14ac:dyDescent="0.25">
      <c r="A7" s="60" t="s">
        <v>1042</v>
      </c>
      <c r="B7" s="60">
        <v>60041</v>
      </c>
      <c r="C7" s="60" t="s">
        <v>30</v>
      </c>
      <c r="D7" s="59" t="s">
        <v>1394</v>
      </c>
      <c r="E7" s="11" t="s">
        <v>1393</v>
      </c>
      <c r="F7" s="61" t="s">
        <v>1392</v>
      </c>
      <c r="G7" s="58">
        <v>2</v>
      </c>
      <c r="H7" s="57">
        <v>0.19999999999999901</v>
      </c>
      <c r="I7" s="103">
        <f t="shared" si="0"/>
        <v>43.983999999999781</v>
      </c>
    </row>
    <row r="8" spans="1:9" ht="18" customHeight="1" x14ac:dyDescent="0.25">
      <c r="A8" s="60" t="s">
        <v>1042</v>
      </c>
      <c r="B8" s="60">
        <v>60042</v>
      </c>
      <c r="C8" s="60" t="s">
        <v>10</v>
      </c>
      <c r="D8" s="59" t="s">
        <v>1390</v>
      </c>
      <c r="E8" s="11" t="s">
        <v>1391</v>
      </c>
      <c r="F8" s="17"/>
      <c r="G8" s="58">
        <v>2</v>
      </c>
      <c r="H8" s="57">
        <v>0.30000000000000077</v>
      </c>
      <c r="I8" s="103">
        <f t="shared" si="0"/>
        <v>65.97600000000017</v>
      </c>
    </row>
    <row r="9" spans="1:9" ht="18" customHeight="1" x14ac:dyDescent="0.25">
      <c r="A9" s="60" t="s">
        <v>1042</v>
      </c>
      <c r="B9" s="60">
        <v>60042</v>
      </c>
      <c r="C9" s="60" t="s">
        <v>30</v>
      </c>
      <c r="D9" s="59" t="s">
        <v>1390</v>
      </c>
      <c r="E9" s="11" t="s">
        <v>1389</v>
      </c>
      <c r="F9" s="17"/>
      <c r="G9" s="58">
        <v>2</v>
      </c>
      <c r="H9" s="57">
        <v>0.29999999999999977</v>
      </c>
      <c r="I9" s="103">
        <f t="shared" si="0"/>
        <v>65.975999999999942</v>
      </c>
    </row>
    <row r="10" spans="1:9" ht="18" customHeight="1" x14ac:dyDescent="0.25">
      <c r="A10" s="60" t="s">
        <v>1042</v>
      </c>
      <c r="B10" s="60">
        <v>60053</v>
      </c>
      <c r="C10" s="60" t="s">
        <v>10</v>
      </c>
      <c r="D10" s="59" t="s">
        <v>1388</v>
      </c>
      <c r="E10" s="11" t="s">
        <v>493</v>
      </c>
      <c r="F10" s="17" t="s">
        <v>1251</v>
      </c>
      <c r="G10" s="58">
        <v>2</v>
      </c>
      <c r="H10" s="57">
        <v>0.41249999999999415</v>
      </c>
      <c r="I10" s="103">
        <f t="shared" si="0"/>
        <v>90.716999999998706</v>
      </c>
    </row>
    <row r="11" spans="1:9" ht="18" customHeight="1" x14ac:dyDescent="0.25">
      <c r="A11" s="60" t="s">
        <v>1042</v>
      </c>
      <c r="B11" s="60">
        <v>60053</v>
      </c>
      <c r="C11" s="60" t="s">
        <v>30</v>
      </c>
      <c r="D11" s="59" t="s">
        <v>1388</v>
      </c>
      <c r="E11" s="11" t="s">
        <v>649</v>
      </c>
      <c r="F11" s="17" t="s">
        <v>1251</v>
      </c>
      <c r="G11" s="58">
        <v>2</v>
      </c>
      <c r="H11" s="57">
        <v>0.27499999999999747</v>
      </c>
      <c r="I11" s="103">
        <f t="shared" si="0"/>
        <v>60.47799999999944</v>
      </c>
    </row>
    <row r="12" spans="1:9" ht="18" customHeight="1" x14ac:dyDescent="0.25">
      <c r="A12" s="60" t="s">
        <v>1042</v>
      </c>
      <c r="B12" s="60">
        <v>60061</v>
      </c>
      <c r="C12" s="60" t="s">
        <v>10</v>
      </c>
      <c r="D12" s="59" t="s">
        <v>1385</v>
      </c>
      <c r="E12" s="11" t="s">
        <v>1387</v>
      </c>
      <c r="F12" s="17" t="s">
        <v>1386</v>
      </c>
      <c r="G12" s="58">
        <v>2</v>
      </c>
      <c r="H12" s="57">
        <v>2.333333333333333</v>
      </c>
      <c r="I12" s="103">
        <f t="shared" si="0"/>
        <v>513.14666666666653</v>
      </c>
    </row>
    <row r="13" spans="1:9" ht="18" customHeight="1" x14ac:dyDescent="0.25">
      <c r="A13" s="60" t="s">
        <v>1042</v>
      </c>
      <c r="B13" s="60">
        <v>60061</v>
      </c>
      <c r="C13" s="60" t="s">
        <v>30</v>
      </c>
      <c r="D13" s="59" t="s">
        <v>1385</v>
      </c>
      <c r="E13" s="11" t="s">
        <v>1384</v>
      </c>
      <c r="F13" s="17" t="s">
        <v>1383</v>
      </c>
      <c r="G13" s="58">
        <v>2</v>
      </c>
      <c r="H13" s="57">
        <v>1.8099999999999998</v>
      </c>
      <c r="I13" s="103">
        <f t="shared" si="0"/>
        <v>398.05519999999996</v>
      </c>
    </row>
    <row r="14" spans="1:9" ht="18" customHeight="1" x14ac:dyDescent="0.25">
      <c r="A14" s="60" t="s">
        <v>1042</v>
      </c>
      <c r="B14" s="60">
        <v>60063</v>
      </c>
      <c r="C14" s="60" t="s">
        <v>10</v>
      </c>
      <c r="D14" s="59" t="s">
        <v>1382</v>
      </c>
      <c r="E14" s="11" t="s">
        <v>1377</v>
      </c>
      <c r="F14" s="17" t="s">
        <v>1380</v>
      </c>
      <c r="G14" s="58">
        <v>2</v>
      </c>
      <c r="H14" s="57">
        <v>2.1078947368421028</v>
      </c>
      <c r="I14" s="103">
        <f t="shared" si="0"/>
        <v>463.56821052631523</v>
      </c>
    </row>
    <row r="15" spans="1:9" ht="18" customHeight="1" x14ac:dyDescent="0.25">
      <c r="A15" s="60" t="s">
        <v>1042</v>
      </c>
      <c r="B15" s="60">
        <v>60063</v>
      </c>
      <c r="C15" s="60" t="s">
        <v>30</v>
      </c>
      <c r="D15" s="59" t="s">
        <v>1382</v>
      </c>
      <c r="E15" s="11" t="s">
        <v>1381</v>
      </c>
      <c r="F15" s="17" t="s">
        <v>1380</v>
      </c>
      <c r="G15" s="58">
        <v>2</v>
      </c>
      <c r="H15" s="57">
        <v>0.93966666666666665</v>
      </c>
      <c r="I15" s="103">
        <f t="shared" si="0"/>
        <v>206.65149333333332</v>
      </c>
    </row>
    <row r="16" spans="1:9" ht="18" customHeight="1" x14ac:dyDescent="0.25">
      <c r="A16" s="60" t="s">
        <v>1042</v>
      </c>
      <c r="B16" s="60">
        <v>60064</v>
      </c>
      <c r="C16" s="60" t="s">
        <v>10</v>
      </c>
      <c r="D16" s="59" t="s">
        <v>1378</v>
      </c>
      <c r="E16" s="11" t="s">
        <v>1379</v>
      </c>
      <c r="F16" s="17"/>
      <c r="G16" s="58">
        <v>4</v>
      </c>
      <c r="H16" s="57">
        <v>4.3056000000000001</v>
      </c>
      <c r="I16" s="103">
        <f t="shared" si="0"/>
        <v>946.88755199999991</v>
      </c>
    </row>
    <row r="17" spans="1:9" ht="18" customHeight="1" x14ac:dyDescent="0.25">
      <c r="A17" s="60" t="s">
        <v>1042</v>
      </c>
      <c r="B17" s="60">
        <v>60064</v>
      </c>
      <c r="C17" s="60" t="s">
        <v>30</v>
      </c>
      <c r="D17" s="59" t="s">
        <v>1378</v>
      </c>
      <c r="E17" s="11" t="s">
        <v>1119</v>
      </c>
      <c r="F17" s="17"/>
      <c r="G17" s="58">
        <v>4</v>
      </c>
      <c r="H17" s="57">
        <v>4.0226999999999995</v>
      </c>
      <c r="I17" s="103">
        <f t="shared" si="0"/>
        <v>884.67218399999979</v>
      </c>
    </row>
    <row r="18" spans="1:9" ht="18" customHeight="1" x14ac:dyDescent="0.25">
      <c r="A18" s="60" t="s">
        <v>1042</v>
      </c>
      <c r="B18" s="60">
        <v>60065</v>
      </c>
      <c r="C18" s="60" t="s">
        <v>10</v>
      </c>
      <c r="D18" s="59" t="s">
        <v>1376</v>
      </c>
      <c r="E18" s="11" t="s">
        <v>1377</v>
      </c>
      <c r="F18" s="17"/>
      <c r="G18" s="58">
        <v>3</v>
      </c>
      <c r="H18" s="57">
        <v>3.57</v>
      </c>
      <c r="I18" s="103">
        <f t="shared" si="0"/>
        <v>785.11439999999993</v>
      </c>
    </row>
    <row r="19" spans="1:9" ht="18" customHeight="1" x14ac:dyDescent="0.25">
      <c r="A19" s="60" t="s">
        <v>1042</v>
      </c>
      <c r="B19" s="60">
        <v>60065</v>
      </c>
      <c r="C19" s="60" t="s">
        <v>30</v>
      </c>
      <c r="D19" s="59" t="s">
        <v>1376</v>
      </c>
      <c r="E19" s="11" t="s">
        <v>1375</v>
      </c>
      <c r="F19" s="17"/>
      <c r="G19" s="58">
        <v>3</v>
      </c>
      <c r="H19" s="57">
        <v>2.1419999999999999</v>
      </c>
      <c r="I19" s="103">
        <f t="shared" si="0"/>
        <v>471.06863999999996</v>
      </c>
    </row>
    <row r="20" spans="1:9" ht="18" customHeight="1" x14ac:dyDescent="0.25">
      <c r="A20" s="60" t="s">
        <v>1042</v>
      </c>
      <c r="B20" s="60">
        <v>60070</v>
      </c>
      <c r="C20" s="60" t="s">
        <v>10</v>
      </c>
      <c r="D20" s="59" t="s">
        <v>1372</v>
      </c>
      <c r="E20" s="11" t="s">
        <v>1374</v>
      </c>
      <c r="F20" s="17" t="s">
        <v>1373</v>
      </c>
      <c r="G20" s="58">
        <v>2</v>
      </c>
      <c r="H20" s="57">
        <v>4.7703703703703733</v>
      </c>
      <c r="I20" s="103">
        <f t="shared" si="0"/>
        <v>1049.0998518518525</v>
      </c>
    </row>
    <row r="21" spans="1:9" ht="18" customHeight="1" x14ac:dyDescent="0.25">
      <c r="A21" s="60" t="s">
        <v>1042</v>
      </c>
      <c r="B21" s="60">
        <v>60070</v>
      </c>
      <c r="C21" s="60" t="s">
        <v>30</v>
      </c>
      <c r="D21" s="59" t="s">
        <v>1372</v>
      </c>
      <c r="E21" s="11" t="s">
        <v>1371</v>
      </c>
      <c r="F21" s="17" t="s">
        <v>1370</v>
      </c>
      <c r="G21" s="58">
        <v>2</v>
      </c>
      <c r="H21" s="57">
        <v>2.8622222222222238</v>
      </c>
      <c r="I21" s="103">
        <f t="shared" si="0"/>
        <v>629.45991111111141</v>
      </c>
    </row>
    <row r="22" spans="1:9" ht="18" customHeight="1" x14ac:dyDescent="0.25">
      <c r="A22" s="60" t="s">
        <v>1042</v>
      </c>
      <c r="B22" s="62">
        <v>60075</v>
      </c>
      <c r="C22" s="60" t="s">
        <v>10</v>
      </c>
      <c r="D22" s="59" t="s">
        <v>1368</v>
      </c>
      <c r="E22" s="11" t="s">
        <v>1365</v>
      </c>
      <c r="F22" s="17" t="s">
        <v>1369</v>
      </c>
      <c r="G22" s="58">
        <v>2</v>
      </c>
      <c r="H22" s="57">
        <v>4.125</v>
      </c>
      <c r="I22" s="103">
        <f t="shared" si="0"/>
        <v>907.17</v>
      </c>
    </row>
    <row r="23" spans="1:9" ht="18" customHeight="1" x14ac:dyDescent="0.25">
      <c r="A23" s="60" t="s">
        <v>1042</v>
      </c>
      <c r="B23" s="60">
        <v>60075</v>
      </c>
      <c r="C23" s="60" t="s">
        <v>30</v>
      </c>
      <c r="D23" s="59" t="s">
        <v>1368</v>
      </c>
      <c r="E23" s="11" t="s">
        <v>1367</v>
      </c>
      <c r="F23" s="17" t="s">
        <v>1366</v>
      </c>
      <c r="G23" s="58">
        <v>2</v>
      </c>
      <c r="H23" s="57">
        <v>2.4750000000000001</v>
      </c>
      <c r="I23" s="103">
        <f t="shared" si="0"/>
        <v>544.30200000000002</v>
      </c>
    </row>
    <row r="24" spans="1:9" ht="18" customHeight="1" x14ac:dyDescent="0.25">
      <c r="A24" s="60" t="s">
        <v>1042</v>
      </c>
      <c r="B24" s="60">
        <v>60078</v>
      </c>
      <c r="C24" s="60" t="s">
        <v>10</v>
      </c>
      <c r="D24" s="11" t="s">
        <v>1364</v>
      </c>
      <c r="E24" s="11" t="s">
        <v>1365</v>
      </c>
      <c r="F24" s="17"/>
      <c r="G24" s="58">
        <v>3</v>
      </c>
      <c r="H24" s="57">
        <v>6.5449999999999999</v>
      </c>
      <c r="I24" s="103">
        <f t="shared" si="0"/>
        <v>1439.3763999999999</v>
      </c>
    </row>
    <row r="25" spans="1:9" ht="18" customHeight="1" x14ac:dyDescent="0.25">
      <c r="A25" s="60" t="s">
        <v>1042</v>
      </c>
      <c r="B25" s="60">
        <v>60078</v>
      </c>
      <c r="C25" s="60" t="s">
        <v>30</v>
      </c>
      <c r="D25" s="11" t="s">
        <v>1364</v>
      </c>
      <c r="E25" s="11" t="s">
        <v>1363</v>
      </c>
      <c r="F25" s="17"/>
      <c r="G25" s="58">
        <v>3</v>
      </c>
      <c r="H25" s="57">
        <v>3.9269999999999996</v>
      </c>
      <c r="I25" s="103">
        <f t="shared" si="0"/>
        <v>863.62583999999981</v>
      </c>
    </row>
    <row r="26" spans="1:9" ht="18" customHeight="1" x14ac:dyDescent="0.25">
      <c r="A26" s="60" t="s">
        <v>1042</v>
      </c>
      <c r="B26" s="60">
        <v>60079</v>
      </c>
      <c r="C26" s="60" t="s">
        <v>30</v>
      </c>
      <c r="D26" s="59" t="s">
        <v>1362</v>
      </c>
      <c r="E26" s="11" t="s">
        <v>1361</v>
      </c>
      <c r="F26" s="17"/>
      <c r="G26" s="58">
        <v>4</v>
      </c>
      <c r="H26" s="57">
        <v>1.7939999999999998</v>
      </c>
      <c r="I26" s="103">
        <f t="shared" si="0"/>
        <v>394.53647999999993</v>
      </c>
    </row>
    <row r="27" spans="1:9" ht="18" customHeight="1" x14ac:dyDescent="0.25">
      <c r="A27" s="60" t="s">
        <v>1042</v>
      </c>
      <c r="B27" s="60">
        <v>60082</v>
      </c>
      <c r="C27" s="60" t="s">
        <v>10</v>
      </c>
      <c r="D27" s="59" t="s">
        <v>1360</v>
      </c>
      <c r="E27" s="11" t="s">
        <v>1348</v>
      </c>
      <c r="F27" s="17" t="s">
        <v>1159</v>
      </c>
      <c r="G27" s="58">
        <v>2</v>
      </c>
      <c r="H27" s="57">
        <v>5</v>
      </c>
      <c r="I27" s="103">
        <f t="shared" si="0"/>
        <v>1099.5999999999999</v>
      </c>
    </row>
    <row r="28" spans="1:9" ht="18" customHeight="1" x14ac:dyDescent="0.25">
      <c r="A28" s="60" t="s">
        <v>1042</v>
      </c>
      <c r="B28" s="60">
        <v>60082</v>
      </c>
      <c r="C28" s="60" t="s">
        <v>30</v>
      </c>
      <c r="D28" s="59" t="s">
        <v>1360</v>
      </c>
      <c r="E28" s="11" t="s">
        <v>1186</v>
      </c>
      <c r="F28" s="17" t="s">
        <v>1359</v>
      </c>
      <c r="G28" s="58">
        <v>2</v>
      </c>
      <c r="H28" s="57">
        <v>3</v>
      </c>
      <c r="I28" s="103">
        <f t="shared" si="0"/>
        <v>659.76</v>
      </c>
    </row>
    <row r="29" spans="1:9" ht="18" customHeight="1" x14ac:dyDescent="0.25">
      <c r="A29" s="60" t="s">
        <v>1042</v>
      </c>
      <c r="B29" s="60">
        <v>60086</v>
      </c>
      <c r="C29" s="60" t="s">
        <v>10</v>
      </c>
      <c r="D29" s="59" t="s">
        <v>1358</v>
      </c>
      <c r="E29" s="11" t="s">
        <v>1348</v>
      </c>
      <c r="F29" s="17" t="s">
        <v>1159</v>
      </c>
      <c r="G29" s="58">
        <v>2</v>
      </c>
      <c r="H29" s="57">
        <v>4.5</v>
      </c>
      <c r="I29" s="103">
        <f t="shared" si="0"/>
        <v>989.64</v>
      </c>
    </row>
    <row r="30" spans="1:9" ht="18" customHeight="1" x14ac:dyDescent="0.25">
      <c r="A30" s="60" t="s">
        <v>1042</v>
      </c>
      <c r="B30" s="60">
        <v>60086</v>
      </c>
      <c r="C30" s="60" t="s">
        <v>30</v>
      </c>
      <c r="D30" s="59" t="s">
        <v>1358</v>
      </c>
      <c r="E30" s="11" t="s">
        <v>1346</v>
      </c>
      <c r="F30" s="17" t="s">
        <v>1156</v>
      </c>
      <c r="G30" s="58">
        <v>2</v>
      </c>
      <c r="H30" s="57">
        <v>2.7</v>
      </c>
      <c r="I30" s="103">
        <f t="shared" si="0"/>
        <v>593.78399999999999</v>
      </c>
    </row>
    <row r="31" spans="1:9" ht="18" customHeight="1" x14ac:dyDescent="0.25">
      <c r="A31" s="60" t="s">
        <v>1042</v>
      </c>
      <c r="B31" s="60">
        <v>60090</v>
      </c>
      <c r="C31" s="60" t="s">
        <v>30</v>
      </c>
      <c r="D31" s="59" t="s">
        <v>1357</v>
      </c>
      <c r="E31" s="11" t="s">
        <v>1346</v>
      </c>
      <c r="F31" s="17"/>
      <c r="G31" s="58">
        <v>2</v>
      </c>
      <c r="H31" s="57">
        <v>3.9</v>
      </c>
      <c r="I31" s="103">
        <f t="shared" si="0"/>
        <v>857.68799999999999</v>
      </c>
    </row>
    <row r="32" spans="1:9" ht="18" customHeight="1" x14ac:dyDescent="0.25">
      <c r="A32" s="60" t="s">
        <v>1042</v>
      </c>
      <c r="B32" s="60">
        <v>60094</v>
      </c>
      <c r="C32" s="60" t="s">
        <v>10</v>
      </c>
      <c r="D32" s="11" t="s">
        <v>1356</v>
      </c>
      <c r="E32" s="11" t="s">
        <v>1348</v>
      </c>
      <c r="F32" s="17"/>
      <c r="G32" s="58">
        <v>3</v>
      </c>
      <c r="H32" s="57">
        <v>6.4260000000000002</v>
      </c>
      <c r="I32" s="103">
        <f t="shared" si="0"/>
        <v>1413.2059199999999</v>
      </c>
    </row>
    <row r="33" spans="1:9" ht="18" customHeight="1" x14ac:dyDescent="0.25">
      <c r="A33" s="60" t="s">
        <v>1042</v>
      </c>
      <c r="B33" s="60">
        <v>60094</v>
      </c>
      <c r="C33" s="60" t="s">
        <v>30</v>
      </c>
      <c r="D33" s="11" t="s">
        <v>1356</v>
      </c>
      <c r="E33" s="11" t="s">
        <v>1346</v>
      </c>
      <c r="F33" s="17"/>
      <c r="G33" s="58">
        <v>3</v>
      </c>
      <c r="H33" s="57">
        <v>4.2839999999999998</v>
      </c>
      <c r="I33" s="103">
        <f t="shared" si="0"/>
        <v>942.13727999999992</v>
      </c>
    </row>
    <row r="34" spans="1:9" ht="18" customHeight="1" x14ac:dyDescent="0.25">
      <c r="A34" s="60" t="s">
        <v>1042</v>
      </c>
      <c r="B34" s="60">
        <v>60098</v>
      </c>
      <c r="C34" s="60" t="s">
        <v>10</v>
      </c>
      <c r="D34" s="59" t="s">
        <v>1355</v>
      </c>
      <c r="E34" s="11" t="s">
        <v>1348</v>
      </c>
      <c r="F34" s="17" t="s">
        <v>1353</v>
      </c>
      <c r="G34" s="58">
        <v>2</v>
      </c>
      <c r="H34" s="57">
        <v>5.5</v>
      </c>
      <c r="I34" s="103">
        <f t="shared" si="0"/>
        <v>1209.56</v>
      </c>
    </row>
    <row r="35" spans="1:9" ht="18" customHeight="1" x14ac:dyDescent="0.25">
      <c r="A35" s="60" t="s">
        <v>1042</v>
      </c>
      <c r="B35" s="60">
        <v>60098</v>
      </c>
      <c r="C35" s="60" t="s">
        <v>30</v>
      </c>
      <c r="D35" s="59" t="s">
        <v>1355</v>
      </c>
      <c r="E35" s="11" t="s">
        <v>1186</v>
      </c>
      <c r="F35" s="17" t="s">
        <v>1354</v>
      </c>
      <c r="G35" s="58">
        <v>2</v>
      </c>
      <c r="H35" s="57">
        <v>3.3</v>
      </c>
      <c r="I35" s="103">
        <f t="shared" si="0"/>
        <v>725.73599999999988</v>
      </c>
    </row>
    <row r="36" spans="1:9" ht="18" customHeight="1" x14ac:dyDescent="0.25">
      <c r="A36" s="60" t="s">
        <v>1042</v>
      </c>
      <c r="B36" s="60">
        <v>60102</v>
      </c>
      <c r="C36" s="60" t="s">
        <v>10</v>
      </c>
      <c r="D36" s="59" t="s">
        <v>1352</v>
      </c>
      <c r="E36" s="11" t="s">
        <v>1348</v>
      </c>
      <c r="F36" s="17" t="s">
        <v>1353</v>
      </c>
      <c r="G36" s="58">
        <v>2</v>
      </c>
      <c r="H36" s="57">
        <v>4.7333333333333334</v>
      </c>
      <c r="I36" s="103">
        <f t="shared" si="0"/>
        <v>1040.9546666666665</v>
      </c>
    </row>
    <row r="37" spans="1:9" ht="18" customHeight="1" x14ac:dyDescent="0.25">
      <c r="A37" s="60" t="s">
        <v>1042</v>
      </c>
      <c r="B37" s="60">
        <v>60102</v>
      </c>
      <c r="C37" s="60" t="s">
        <v>30</v>
      </c>
      <c r="D37" s="59" t="s">
        <v>1352</v>
      </c>
      <c r="E37" s="11" t="s">
        <v>1346</v>
      </c>
      <c r="F37" s="17" t="s">
        <v>1351</v>
      </c>
      <c r="G37" s="58">
        <v>2</v>
      </c>
      <c r="H37" s="57">
        <v>2.8400000000000003</v>
      </c>
      <c r="I37" s="103">
        <f t="shared" si="0"/>
        <v>624.57280000000003</v>
      </c>
    </row>
    <row r="38" spans="1:9" ht="18" customHeight="1" x14ac:dyDescent="0.25">
      <c r="A38" s="60" t="s">
        <v>1042</v>
      </c>
      <c r="B38" s="60">
        <v>60103</v>
      </c>
      <c r="C38" s="60" t="s">
        <v>10</v>
      </c>
      <c r="D38" s="59" t="s">
        <v>1349</v>
      </c>
      <c r="E38" s="11" t="s">
        <v>1350</v>
      </c>
      <c r="F38" s="17" t="s">
        <v>1286</v>
      </c>
      <c r="G38" s="58">
        <v>2</v>
      </c>
      <c r="H38" s="57">
        <v>9.25</v>
      </c>
      <c r="I38" s="103">
        <f t="shared" si="0"/>
        <v>2034.26</v>
      </c>
    </row>
    <row r="39" spans="1:9" ht="18" customHeight="1" x14ac:dyDescent="0.25">
      <c r="A39" s="60" t="s">
        <v>1042</v>
      </c>
      <c r="B39" s="60">
        <v>60103</v>
      </c>
      <c r="C39" s="60" t="s">
        <v>30</v>
      </c>
      <c r="D39" s="59" t="s">
        <v>1349</v>
      </c>
      <c r="E39" s="11" t="s">
        <v>1287</v>
      </c>
      <c r="F39" s="17" t="s">
        <v>1286</v>
      </c>
      <c r="G39" s="58">
        <v>2</v>
      </c>
      <c r="H39" s="57">
        <v>7.4</v>
      </c>
      <c r="I39" s="103">
        <f t="shared" si="0"/>
        <v>1627.4079999999999</v>
      </c>
    </row>
    <row r="40" spans="1:9" ht="18" customHeight="1" x14ac:dyDescent="0.25">
      <c r="A40" s="60" t="s">
        <v>1042</v>
      </c>
      <c r="B40" s="60">
        <v>60106</v>
      </c>
      <c r="C40" s="60" t="s">
        <v>10</v>
      </c>
      <c r="D40" s="59" t="s">
        <v>1347</v>
      </c>
      <c r="E40" s="11" t="s">
        <v>1348</v>
      </c>
      <c r="F40" s="17"/>
      <c r="G40" s="58">
        <v>3</v>
      </c>
      <c r="H40" s="57">
        <v>6.7036666666666669</v>
      </c>
      <c r="I40" s="103">
        <f t="shared" si="0"/>
        <v>1474.2703733333333</v>
      </c>
    </row>
    <row r="41" spans="1:9" ht="18" customHeight="1" x14ac:dyDescent="0.25">
      <c r="A41" s="60" t="s">
        <v>1042</v>
      </c>
      <c r="B41" s="60">
        <v>60106</v>
      </c>
      <c r="C41" s="60" t="s">
        <v>30</v>
      </c>
      <c r="D41" s="59" t="s">
        <v>1347</v>
      </c>
      <c r="E41" s="11" t="s">
        <v>1346</v>
      </c>
      <c r="F41" s="17"/>
      <c r="G41" s="58">
        <v>3</v>
      </c>
      <c r="H41" s="57">
        <v>4.4506000000000006</v>
      </c>
      <c r="I41" s="103">
        <f t="shared" si="0"/>
        <v>978.77595200000007</v>
      </c>
    </row>
    <row r="42" spans="1:9" ht="18" customHeight="1" x14ac:dyDescent="0.25">
      <c r="A42" s="60" t="s">
        <v>1042</v>
      </c>
      <c r="B42" s="60">
        <v>60107</v>
      </c>
      <c r="C42" s="60" t="s">
        <v>10</v>
      </c>
      <c r="D42" s="59" t="s">
        <v>1345</v>
      </c>
      <c r="E42" s="11" t="s">
        <v>1128</v>
      </c>
      <c r="F42" s="17" t="s">
        <v>34</v>
      </c>
      <c r="G42" s="58">
        <v>3</v>
      </c>
      <c r="H42" s="57">
        <v>14.161</v>
      </c>
      <c r="I42" s="103">
        <f t="shared" si="0"/>
        <v>3114.28712</v>
      </c>
    </row>
    <row r="43" spans="1:9" ht="18" customHeight="1" x14ac:dyDescent="0.25">
      <c r="A43" s="60" t="s">
        <v>1042</v>
      </c>
      <c r="B43" s="60">
        <v>60107</v>
      </c>
      <c r="C43" s="60" t="s">
        <v>30</v>
      </c>
      <c r="D43" s="59" t="s">
        <v>1345</v>
      </c>
      <c r="E43" s="11" t="s">
        <v>1344</v>
      </c>
      <c r="F43" s="17" t="s">
        <v>34</v>
      </c>
      <c r="G43" s="58">
        <v>3</v>
      </c>
      <c r="H43" s="57">
        <v>11.328799999999999</v>
      </c>
      <c r="I43" s="103">
        <f t="shared" si="0"/>
        <v>2491.4296959999997</v>
      </c>
    </row>
    <row r="44" spans="1:9" ht="18" customHeight="1" x14ac:dyDescent="0.25">
      <c r="A44" s="60" t="s">
        <v>1042</v>
      </c>
      <c r="B44" s="60">
        <v>60140</v>
      </c>
      <c r="C44" s="60" t="s">
        <v>10</v>
      </c>
      <c r="D44" s="59" t="s">
        <v>1342</v>
      </c>
      <c r="E44" s="11" t="s">
        <v>1343</v>
      </c>
      <c r="F44" s="17" t="s">
        <v>1189</v>
      </c>
      <c r="G44" s="58">
        <v>2</v>
      </c>
      <c r="H44" s="57">
        <v>0.74952380952381037</v>
      </c>
      <c r="I44" s="103">
        <f t="shared" si="0"/>
        <v>164.83527619047638</v>
      </c>
    </row>
    <row r="45" spans="1:9" ht="18" customHeight="1" x14ac:dyDescent="0.25">
      <c r="A45" s="60" t="s">
        <v>1042</v>
      </c>
      <c r="B45" s="60">
        <v>60140</v>
      </c>
      <c r="C45" s="60" t="s">
        <v>30</v>
      </c>
      <c r="D45" s="59" t="s">
        <v>1342</v>
      </c>
      <c r="E45" s="11" t="s">
        <v>1341</v>
      </c>
      <c r="F45" s="17" t="s">
        <v>1340</v>
      </c>
      <c r="G45" s="58">
        <v>2</v>
      </c>
      <c r="H45" s="57">
        <v>0.38284313725490193</v>
      </c>
      <c r="I45" s="103">
        <f t="shared" si="0"/>
        <v>84.194862745098035</v>
      </c>
    </row>
    <row r="46" spans="1:9" ht="18" customHeight="1" x14ac:dyDescent="0.25">
      <c r="A46" s="60" t="s">
        <v>1042</v>
      </c>
      <c r="B46" s="60">
        <v>60157</v>
      </c>
      <c r="C46" s="60" t="s">
        <v>10</v>
      </c>
      <c r="D46" s="59" t="s">
        <v>1339</v>
      </c>
      <c r="E46" s="11" t="s">
        <v>1151</v>
      </c>
      <c r="F46" s="17"/>
      <c r="G46" s="58">
        <v>2</v>
      </c>
      <c r="H46" s="57">
        <v>4.1999999999999996E-2</v>
      </c>
      <c r="I46" s="103">
        <f t="shared" si="0"/>
        <v>9.2366399999999977</v>
      </c>
    </row>
    <row r="47" spans="1:9" ht="18" customHeight="1" x14ac:dyDescent="0.25">
      <c r="A47" s="60" t="s">
        <v>1042</v>
      </c>
      <c r="B47" s="60">
        <v>60157</v>
      </c>
      <c r="C47" s="60" t="s">
        <v>30</v>
      </c>
      <c r="D47" s="59" t="s">
        <v>1339</v>
      </c>
      <c r="E47" s="11" t="s">
        <v>1149</v>
      </c>
      <c r="F47" s="17"/>
      <c r="G47" s="58">
        <v>2</v>
      </c>
      <c r="H47" s="57">
        <v>2.52E-2</v>
      </c>
      <c r="I47" s="103">
        <f t="shared" si="0"/>
        <v>5.5419839999999994</v>
      </c>
    </row>
    <row r="48" spans="1:9" ht="18" customHeight="1" x14ac:dyDescent="0.25">
      <c r="A48" s="60" t="s">
        <v>1042</v>
      </c>
      <c r="B48" s="58">
        <v>60172</v>
      </c>
      <c r="C48" s="60" t="s">
        <v>10</v>
      </c>
      <c r="D48" s="59" t="s">
        <v>1401</v>
      </c>
      <c r="E48" s="11" t="s">
        <v>1252</v>
      </c>
      <c r="F48" s="17" t="s">
        <v>1254</v>
      </c>
      <c r="G48" s="58">
        <v>2</v>
      </c>
      <c r="H48" s="67">
        <v>2.1999999999999999E-2</v>
      </c>
      <c r="I48" s="103">
        <f t="shared" si="0"/>
        <v>4.8382399999999999</v>
      </c>
    </row>
    <row r="49" spans="1:9" ht="18" customHeight="1" x14ac:dyDescent="0.25">
      <c r="A49" s="60" t="s">
        <v>1042</v>
      </c>
      <c r="B49" s="60">
        <v>60220</v>
      </c>
      <c r="C49" s="66" t="s">
        <v>10</v>
      </c>
      <c r="D49" s="59" t="s">
        <v>1337</v>
      </c>
      <c r="E49" s="11" t="s">
        <v>1338</v>
      </c>
      <c r="F49" s="65"/>
      <c r="G49" s="58">
        <v>6</v>
      </c>
      <c r="H49" s="57">
        <v>31.68</v>
      </c>
      <c r="I49" s="103">
        <f t="shared" si="0"/>
        <v>6967.0655999999999</v>
      </c>
    </row>
    <row r="50" spans="1:9" ht="18" customHeight="1" x14ac:dyDescent="0.25">
      <c r="A50" s="60" t="s">
        <v>1042</v>
      </c>
      <c r="B50" s="60">
        <v>60220</v>
      </c>
      <c r="C50" s="66" t="s">
        <v>30</v>
      </c>
      <c r="D50" s="59" t="s">
        <v>1337</v>
      </c>
      <c r="E50" s="11" t="s">
        <v>1336</v>
      </c>
      <c r="F50" s="65"/>
      <c r="G50" s="58">
        <v>6</v>
      </c>
      <c r="H50" s="57">
        <v>19.008000000000003</v>
      </c>
      <c r="I50" s="103">
        <f t="shared" si="0"/>
        <v>4180.2393600000005</v>
      </c>
    </row>
    <row r="51" spans="1:9" ht="18" customHeight="1" x14ac:dyDescent="0.25">
      <c r="A51" s="60" t="s">
        <v>1042</v>
      </c>
      <c r="B51" s="60">
        <v>60270</v>
      </c>
      <c r="C51" s="66" t="s">
        <v>10</v>
      </c>
      <c r="D51" s="59" t="s">
        <v>1335</v>
      </c>
      <c r="E51" s="11" t="s">
        <v>1334</v>
      </c>
      <c r="F51" s="65"/>
      <c r="G51" s="58">
        <v>2</v>
      </c>
      <c r="H51" s="57">
        <v>1.8</v>
      </c>
      <c r="I51" s="103">
        <f t="shared" si="0"/>
        <v>395.85599999999999</v>
      </c>
    </row>
    <row r="52" spans="1:9" ht="18" customHeight="1" x14ac:dyDescent="0.25">
      <c r="A52" s="60" t="s">
        <v>1042</v>
      </c>
      <c r="B52" s="60">
        <v>60310</v>
      </c>
      <c r="C52" s="60" t="s">
        <v>10</v>
      </c>
      <c r="D52" s="59" t="s">
        <v>1332</v>
      </c>
      <c r="E52" s="11" t="s">
        <v>1333</v>
      </c>
      <c r="F52" s="58"/>
      <c r="G52" s="58">
        <v>2</v>
      </c>
      <c r="H52" s="57">
        <v>1.9249999999999996</v>
      </c>
      <c r="I52" s="103">
        <f t="shared" si="0"/>
        <v>423.34599999999989</v>
      </c>
    </row>
    <row r="53" spans="1:9" ht="18" customHeight="1" x14ac:dyDescent="0.25">
      <c r="A53" s="60" t="s">
        <v>1042</v>
      </c>
      <c r="B53" s="60">
        <v>60310</v>
      </c>
      <c r="C53" s="60" t="s">
        <v>30</v>
      </c>
      <c r="D53" s="59" t="s">
        <v>1332</v>
      </c>
      <c r="E53" s="11" t="s">
        <v>1331</v>
      </c>
      <c r="F53" s="58"/>
      <c r="G53" s="58">
        <v>2</v>
      </c>
      <c r="H53" s="57">
        <v>1.25</v>
      </c>
      <c r="I53" s="103">
        <f t="shared" si="0"/>
        <v>274.89999999999998</v>
      </c>
    </row>
    <row r="54" spans="1:9" ht="18" customHeight="1" x14ac:dyDescent="0.25">
      <c r="A54" s="60" t="s">
        <v>1042</v>
      </c>
      <c r="B54" s="60">
        <v>60400</v>
      </c>
      <c r="C54" s="60" t="s">
        <v>10</v>
      </c>
      <c r="D54" s="59" t="s">
        <v>1330</v>
      </c>
      <c r="E54" s="11" t="s">
        <v>1329</v>
      </c>
      <c r="F54" s="61"/>
      <c r="G54" s="58">
        <v>2</v>
      </c>
      <c r="H54" s="57">
        <v>0.5499999999999956</v>
      </c>
      <c r="I54" s="103">
        <f t="shared" si="0"/>
        <v>120.95599999999902</v>
      </c>
    </row>
    <row r="55" spans="1:9" ht="18" customHeight="1" x14ac:dyDescent="0.25">
      <c r="A55" s="60" t="s">
        <v>1042</v>
      </c>
      <c r="B55" s="60">
        <v>60600</v>
      </c>
      <c r="C55" s="66" t="s">
        <v>10</v>
      </c>
      <c r="D55" s="59" t="s">
        <v>1327</v>
      </c>
      <c r="E55" s="11" t="s">
        <v>1328</v>
      </c>
      <c r="F55" s="65"/>
      <c r="G55" s="58">
        <v>2</v>
      </c>
      <c r="H55" s="57">
        <v>0.1</v>
      </c>
      <c r="I55" s="103">
        <f t="shared" si="0"/>
        <v>21.992000000000001</v>
      </c>
    </row>
    <row r="56" spans="1:9" ht="18" customHeight="1" x14ac:dyDescent="0.25">
      <c r="A56" s="60" t="s">
        <v>1042</v>
      </c>
      <c r="B56" s="60">
        <v>60600</v>
      </c>
      <c r="C56" s="66" t="s">
        <v>30</v>
      </c>
      <c r="D56" s="59" t="s">
        <v>1327</v>
      </c>
      <c r="E56" s="11" t="s">
        <v>1326</v>
      </c>
      <c r="F56" s="65"/>
      <c r="G56" s="58">
        <v>2</v>
      </c>
      <c r="H56" s="57">
        <v>0.1</v>
      </c>
      <c r="I56" s="103">
        <f t="shared" si="0"/>
        <v>21.992000000000001</v>
      </c>
    </row>
    <row r="57" spans="1:9" ht="18" customHeight="1" x14ac:dyDescent="0.25">
      <c r="A57" s="60" t="s">
        <v>1042</v>
      </c>
      <c r="B57" s="60">
        <v>62000</v>
      </c>
      <c r="C57" s="60" t="s">
        <v>10</v>
      </c>
      <c r="D57" s="59" t="s">
        <v>1325</v>
      </c>
      <c r="E57" s="11" t="s">
        <v>1255</v>
      </c>
      <c r="F57" s="17" t="s">
        <v>1251</v>
      </c>
      <c r="G57" s="58">
        <v>2</v>
      </c>
      <c r="H57" s="57">
        <v>1.385942901750869E-2</v>
      </c>
      <c r="I57" s="103">
        <f t="shared" si="0"/>
        <v>3.0479656295305109</v>
      </c>
    </row>
    <row r="58" spans="1:9" ht="18" customHeight="1" x14ac:dyDescent="0.25">
      <c r="A58" s="60" t="s">
        <v>1042</v>
      </c>
      <c r="B58" s="60">
        <v>62008</v>
      </c>
      <c r="C58" s="60" t="s">
        <v>30</v>
      </c>
      <c r="D58" s="59" t="s">
        <v>1324</v>
      </c>
      <c r="E58" s="11" t="s">
        <v>1323</v>
      </c>
      <c r="F58" s="17"/>
      <c r="G58" s="58">
        <v>2</v>
      </c>
      <c r="H58" s="57">
        <v>0.74999999999999967</v>
      </c>
      <c r="I58" s="103">
        <f t="shared" si="0"/>
        <v>164.93999999999991</v>
      </c>
    </row>
    <row r="59" spans="1:9" ht="18" customHeight="1" x14ac:dyDescent="0.25">
      <c r="A59" s="60" t="s">
        <v>1042</v>
      </c>
      <c r="B59" s="60">
        <v>62024</v>
      </c>
      <c r="C59" s="60" t="s">
        <v>10</v>
      </c>
      <c r="D59" s="59" t="s">
        <v>1321</v>
      </c>
      <c r="E59" s="11" t="s">
        <v>1322</v>
      </c>
      <c r="F59" s="17"/>
      <c r="G59" s="58">
        <v>2</v>
      </c>
      <c r="H59" s="57">
        <v>0.05</v>
      </c>
      <c r="I59" s="103">
        <f t="shared" si="0"/>
        <v>10.996</v>
      </c>
    </row>
    <row r="60" spans="1:9" ht="18" customHeight="1" x14ac:dyDescent="0.25">
      <c r="A60" s="60" t="s">
        <v>1042</v>
      </c>
      <c r="B60" s="60">
        <v>62024</v>
      </c>
      <c r="C60" s="60" t="s">
        <v>30</v>
      </c>
      <c r="D60" s="59" t="s">
        <v>1321</v>
      </c>
      <c r="E60" s="11" t="s">
        <v>1298</v>
      </c>
      <c r="F60" s="17"/>
      <c r="G60" s="58">
        <v>2</v>
      </c>
      <c r="H60" s="57">
        <v>0.03</v>
      </c>
      <c r="I60" s="103">
        <f t="shared" si="0"/>
        <v>6.597599999999999</v>
      </c>
    </row>
    <row r="61" spans="1:9" ht="18" customHeight="1" x14ac:dyDescent="0.25">
      <c r="A61" s="60" t="s">
        <v>1042</v>
      </c>
      <c r="B61" s="60">
        <v>62027</v>
      </c>
      <c r="C61" s="60" t="s">
        <v>10</v>
      </c>
      <c r="D61" s="59" t="s">
        <v>1320</v>
      </c>
      <c r="E61" s="11" t="s">
        <v>1319</v>
      </c>
      <c r="F61" s="17" t="s">
        <v>1318</v>
      </c>
      <c r="G61" s="58">
        <v>3</v>
      </c>
      <c r="H61" s="57">
        <v>2.8956666666666662</v>
      </c>
      <c r="I61" s="103">
        <f t="shared" si="0"/>
        <v>636.81501333333324</v>
      </c>
    </row>
    <row r="62" spans="1:9" ht="18" customHeight="1" x14ac:dyDescent="0.25">
      <c r="A62" s="60" t="s">
        <v>1042</v>
      </c>
      <c r="B62" s="60">
        <v>62029</v>
      </c>
      <c r="C62" s="60" t="s">
        <v>10</v>
      </c>
      <c r="D62" s="59" t="s">
        <v>1315</v>
      </c>
      <c r="E62" s="11" t="s">
        <v>1317</v>
      </c>
      <c r="F62" s="17" t="s">
        <v>1316</v>
      </c>
      <c r="G62" s="58">
        <v>2</v>
      </c>
      <c r="H62" s="57">
        <v>1.2</v>
      </c>
      <c r="I62" s="103">
        <f t="shared" si="0"/>
        <v>263.904</v>
      </c>
    </row>
    <row r="63" spans="1:9" ht="18" customHeight="1" x14ac:dyDescent="0.25">
      <c r="A63" s="60" t="s">
        <v>1042</v>
      </c>
      <c r="B63" s="60">
        <v>62029</v>
      </c>
      <c r="C63" s="60" t="s">
        <v>30</v>
      </c>
      <c r="D63" s="59" t="s">
        <v>1315</v>
      </c>
      <c r="E63" s="11" t="s">
        <v>1314</v>
      </c>
      <c r="F63" s="17" t="s">
        <v>1313</v>
      </c>
      <c r="G63" s="58">
        <v>2</v>
      </c>
      <c r="H63" s="57">
        <v>0.65000000000000058</v>
      </c>
      <c r="I63" s="103">
        <f t="shared" si="0"/>
        <v>142.94800000000012</v>
      </c>
    </row>
    <row r="64" spans="1:9" ht="18" customHeight="1" x14ac:dyDescent="0.25">
      <c r="A64" s="60" t="s">
        <v>1042</v>
      </c>
      <c r="B64" s="60">
        <v>62031</v>
      </c>
      <c r="C64" s="60" t="s">
        <v>10</v>
      </c>
      <c r="D64" s="59" t="s">
        <v>1311</v>
      </c>
      <c r="E64" s="11" t="s">
        <v>1312</v>
      </c>
      <c r="F64" s="17" t="s">
        <v>815</v>
      </c>
      <c r="G64" s="58">
        <v>2</v>
      </c>
      <c r="H64" s="57">
        <v>0.37499999999999994</v>
      </c>
      <c r="I64" s="103">
        <f t="shared" si="0"/>
        <v>82.469999999999985</v>
      </c>
    </row>
    <row r="65" spans="1:14" ht="18" customHeight="1" x14ac:dyDescent="0.25">
      <c r="A65" s="60" t="s">
        <v>1042</v>
      </c>
      <c r="B65" s="60">
        <v>62031</v>
      </c>
      <c r="C65" s="64" t="s">
        <v>30</v>
      </c>
      <c r="D65" s="59" t="s">
        <v>1311</v>
      </c>
      <c r="E65" s="11" t="s">
        <v>1310</v>
      </c>
      <c r="F65" s="17" t="s">
        <v>815</v>
      </c>
      <c r="G65" s="58">
        <v>2</v>
      </c>
      <c r="H65" s="57">
        <v>0.33333333333333387</v>
      </c>
      <c r="I65" s="103">
        <f t="shared" si="0"/>
        <v>73.306666666666786</v>
      </c>
    </row>
    <row r="66" spans="1:14" ht="18" customHeight="1" x14ac:dyDescent="0.25">
      <c r="A66" s="60" t="s">
        <v>1042</v>
      </c>
      <c r="B66" s="60">
        <v>62032</v>
      </c>
      <c r="C66" s="60" t="s">
        <v>10</v>
      </c>
      <c r="D66" s="59" t="s">
        <v>1308</v>
      </c>
      <c r="E66" s="11" t="s">
        <v>1309</v>
      </c>
      <c r="F66" s="17" t="s">
        <v>815</v>
      </c>
      <c r="G66" s="58">
        <v>2</v>
      </c>
      <c r="H66" s="57">
        <v>0.37499999999999994</v>
      </c>
      <c r="I66" s="103">
        <f t="shared" si="0"/>
        <v>82.469999999999985</v>
      </c>
    </row>
    <row r="67" spans="1:14" ht="18" customHeight="1" x14ac:dyDescent="0.25">
      <c r="A67" s="60" t="s">
        <v>1042</v>
      </c>
      <c r="B67" s="60">
        <v>62032</v>
      </c>
      <c r="C67" s="60" t="s">
        <v>30</v>
      </c>
      <c r="D67" s="59" t="s">
        <v>1308</v>
      </c>
      <c r="E67" s="11" t="s">
        <v>1307</v>
      </c>
      <c r="F67" s="17" t="s">
        <v>815</v>
      </c>
      <c r="G67" s="58">
        <v>2</v>
      </c>
      <c r="H67" s="57">
        <v>0.33333333333333387</v>
      </c>
      <c r="I67" s="103">
        <f t="shared" ref="I67:I130" si="1">H67*219.92</f>
        <v>73.306666666666786</v>
      </c>
    </row>
    <row r="68" spans="1:14" ht="18" customHeight="1" x14ac:dyDescent="0.25">
      <c r="A68" s="60" t="s">
        <v>1042</v>
      </c>
      <c r="B68" s="60">
        <v>62035</v>
      </c>
      <c r="C68" s="60" t="s">
        <v>10</v>
      </c>
      <c r="D68" s="59" t="s">
        <v>1305</v>
      </c>
      <c r="E68" s="11" t="s">
        <v>1306</v>
      </c>
      <c r="F68" s="17"/>
      <c r="G68" s="58">
        <v>2</v>
      </c>
      <c r="H68" s="57">
        <v>0.29999999999999399</v>
      </c>
      <c r="I68" s="103">
        <f t="shared" si="1"/>
        <v>65.975999999998677</v>
      </c>
    </row>
    <row r="69" spans="1:14" ht="18" customHeight="1" x14ac:dyDescent="0.25">
      <c r="A69" s="60" t="s">
        <v>1042</v>
      </c>
      <c r="B69" s="60">
        <v>62035</v>
      </c>
      <c r="C69" s="60" t="s">
        <v>30</v>
      </c>
      <c r="D69" s="59" t="s">
        <v>1305</v>
      </c>
      <c r="E69" s="11" t="s">
        <v>1304</v>
      </c>
      <c r="F69" s="17"/>
      <c r="G69" s="58">
        <v>2</v>
      </c>
      <c r="H69" s="57">
        <v>0.17999999999999639</v>
      </c>
      <c r="I69" s="103">
        <f t="shared" si="1"/>
        <v>39.585599999999204</v>
      </c>
    </row>
    <row r="70" spans="1:14" ht="18" customHeight="1" x14ac:dyDescent="0.25">
      <c r="A70" s="60" t="s">
        <v>1042</v>
      </c>
      <c r="B70" s="60">
        <v>62042</v>
      </c>
      <c r="C70" s="60" t="s">
        <v>10</v>
      </c>
      <c r="D70" s="59" t="s">
        <v>1302</v>
      </c>
      <c r="E70" s="11" t="s">
        <v>1303</v>
      </c>
      <c r="F70" s="17" t="s">
        <v>1236</v>
      </c>
      <c r="G70" s="58">
        <v>2</v>
      </c>
      <c r="H70" s="57">
        <v>0.25714285714285767</v>
      </c>
      <c r="I70" s="103">
        <f t="shared" si="1"/>
        <v>56.550857142857254</v>
      </c>
    </row>
    <row r="71" spans="1:14" ht="18" customHeight="1" x14ac:dyDescent="0.25">
      <c r="A71" s="60" t="s">
        <v>1042</v>
      </c>
      <c r="B71" s="60">
        <v>62042</v>
      </c>
      <c r="C71" s="60" t="s">
        <v>30</v>
      </c>
      <c r="D71" s="59" t="s">
        <v>1302</v>
      </c>
      <c r="E71" s="11" t="s">
        <v>1301</v>
      </c>
      <c r="F71" s="17" t="s">
        <v>1236</v>
      </c>
      <c r="G71" s="58">
        <v>2</v>
      </c>
      <c r="H71" s="57">
        <v>0.20833333333333118</v>
      </c>
      <c r="I71" s="103">
        <f t="shared" si="1"/>
        <v>45.816666666666187</v>
      </c>
    </row>
    <row r="72" spans="1:14" ht="18" customHeight="1" x14ac:dyDescent="0.25">
      <c r="A72" s="60" t="s">
        <v>1042</v>
      </c>
      <c r="B72" s="60">
        <v>62048</v>
      </c>
      <c r="C72" s="60" t="s">
        <v>10</v>
      </c>
      <c r="D72" s="59" t="s">
        <v>1299</v>
      </c>
      <c r="E72" s="11" t="s">
        <v>1300</v>
      </c>
      <c r="F72" s="17"/>
      <c r="G72" s="58">
        <v>4</v>
      </c>
      <c r="H72" s="57">
        <v>7.4945516371330373E-2</v>
      </c>
      <c r="I72" s="103">
        <f t="shared" si="1"/>
        <v>16.482017960382976</v>
      </c>
    </row>
    <row r="73" spans="1:14" ht="18" customHeight="1" x14ac:dyDescent="0.25">
      <c r="A73" s="60" t="s">
        <v>1042</v>
      </c>
      <c r="B73" s="60">
        <v>62048</v>
      </c>
      <c r="C73" s="60" t="s">
        <v>30</v>
      </c>
      <c r="D73" s="59" t="s">
        <v>1299</v>
      </c>
      <c r="E73" s="11" t="s">
        <v>1298</v>
      </c>
      <c r="F73" s="17"/>
      <c r="G73" s="58">
        <v>4</v>
      </c>
      <c r="H73" s="57">
        <v>4.4967309822798222E-2</v>
      </c>
      <c r="I73" s="103">
        <f t="shared" si="1"/>
        <v>9.8892107762297847</v>
      </c>
      <c r="N73" s="105"/>
    </row>
    <row r="74" spans="1:14" ht="18" customHeight="1" x14ac:dyDescent="0.25">
      <c r="A74" s="60" t="s">
        <v>1042</v>
      </c>
      <c r="B74" s="60">
        <v>62050</v>
      </c>
      <c r="C74" s="60" t="s">
        <v>10</v>
      </c>
      <c r="D74" s="59" t="s">
        <v>1297</v>
      </c>
      <c r="E74" s="11" t="s">
        <v>493</v>
      </c>
      <c r="F74" s="17" t="s">
        <v>1251</v>
      </c>
      <c r="G74" s="58">
        <v>2</v>
      </c>
      <c r="H74" s="57">
        <v>0.83999999999999664</v>
      </c>
      <c r="I74" s="103">
        <f t="shared" si="1"/>
        <v>184.73279999999926</v>
      </c>
    </row>
    <row r="75" spans="1:14" ht="18" customHeight="1" x14ac:dyDescent="0.25">
      <c r="A75" s="60" t="s">
        <v>1042</v>
      </c>
      <c r="B75" s="60">
        <v>62050</v>
      </c>
      <c r="C75" s="60" t="s">
        <v>30</v>
      </c>
      <c r="D75" s="59" t="s">
        <v>1297</v>
      </c>
      <c r="E75" s="11" t="s">
        <v>649</v>
      </c>
      <c r="F75" s="17" t="s">
        <v>1251</v>
      </c>
      <c r="G75" s="58">
        <v>2</v>
      </c>
      <c r="H75" s="57">
        <v>0.50399999999999801</v>
      </c>
      <c r="I75" s="103">
        <f t="shared" si="1"/>
        <v>110.83967999999956</v>
      </c>
    </row>
    <row r="76" spans="1:14" ht="18" customHeight="1" x14ac:dyDescent="0.25">
      <c r="A76" s="60" t="s">
        <v>1042</v>
      </c>
      <c r="B76" s="60">
        <v>62059</v>
      </c>
      <c r="C76" s="60" t="s">
        <v>10</v>
      </c>
      <c r="D76" s="59" t="s">
        <v>1295</v>
      </c>
      <c r="E76" s="11" t="s">
        <v>1296</v>
      </c>
      <c r="F76" s="17"/>
      <c r="G76" s="58">
        <v>2</v>
      </c>
      <c r="H76" s="57">
        <v>1.6666666666666632</v>
      </c>
      <c r="I76" s="103">
        <f t="shared" si="1"/>
        <v>366.53333333333256</v>
      </c>
    </row>
    <row r="77" spans="1:14" ht="18" customHeight="1" x14ac:dyDescent="0.25">
      <c r="A77" s="60" t="s">
        <v>1042</v>
      </c>
      <c r="B77" s="60">
        <v>62059</v>
      </c>
      <c r="C77" s="60" t="s">
        <v>30</v>
      </c>
      <c r="D77" s="59" t="s">
        <v>1295</v>
      </c>
      <c r="E77" s="11" t="s">
        <v>1294</v>
      </c>
      <c r="F77" s="17"/>
      <c r="G77" s="58">
        <v>2</v>
      </c>
      <c r="H77" s="57">
        <v>0.99999999999999789</v>
      </c>
      <c r="I77" s="103">
        <f t="shared" si="1"/>
        <v>219.91999999999953</v>
      </c>
    </row>
    <row r="78" spans="1:14" ht="18" customHeight="1" x14ac:dyDescent="0.25">
      <c r="A78" s="60" t="s">
        <v>1042</v>
      </c>
      <c r="B78" s="60">
        <v>62063</v>
      </c>
      <c r="C78" s="60" t="s">
        <v>10</v>
      </c>
      <c r="D78" s="59" t="s">
        <v>1293</v>
      </c>
      <c r="E78" s="11" t="s">
        <v>1292</v>
      </c>
      <c r="F78" s="17"/>
      <c r="G78" s="58">
        <v>2</v>
      </c>
      <c r="H78" s="57">
        <v>0.30769230769230682</v>
      </c>
      <c r="I78" s="103">
        <f t="shared" si="1"/>
        <v>67.667692307692107</v>
      </c>
    </row>
    <row r="79" spans="1:14" ht="18" customHeight="1" x14ac:dyDescent="0.25">
      <c r="A79" s="60" t="s">
        <v>1042</v>
      </c>
      <c r="B79" s="60">
        <v>62076</v>
      </c>
      <c r="C79" s="60" t="s">
        <v>10</v>
      </c>
      <c r="D79" s="59" t="s">
        <v>1291</v>
      </c>
      <c r="E79" s="11" t="s">
        <v>1290</v>
      </c>
      <c r="F79" s="17" t="s">
        <v>260</v>
      </c>
      <c r="G79" s="58">
        <v>2</v>
      </c>
      <c r="H79" s="57">
        <v>2.5</v>
      </c>
      <c r="I79" s="103">
        <f t="shared" si="1"/>
        <v>549.79999999999995</v>
      </c>
    </row>
    <row r="80" spans="1:14" ht="18" customHeight="1" x14ac:dyDescent="0.25">
      <c r="A80" s="60" t="s">
        <v>1042</v>
      </c>
      <c r="B80" s="60">
        <v>62081</v>
      </c>
      <c r="C80" s="60" t="s">
        <v>10</v>
      </c>
      <c r="D80" s="59" t="s">
        <v>1288</v>
      </c>
      <c r="E80" s="11" t="s">
        <v>1289</v>
      </c>
      <c r="F80" s="17" t="s">
        <v>1286</v>
      </c>
      <c r="G80" s="58">
        <v>2</v>
      </c>
      <c r="H80" s="57">
        <v>7.6</v>
      </c>
      <c r="I80" s="103">
        <f t="shared" si="1"/>
        <v>1671.3919999999998</v>
      </c>
    </row>
    <row r="81" spans="1:9" ht="18" customHeight="1" x14ac:dyDescent="0.25">
      <c r="A81" s="60" t="s">
        <v>1042</v>
      </c>
      <c r="B81" s="60">
        <v>62081</v>
      </c>
      <c r="C81" s="60" t="s">
        <v>30</v>
      </c>
      <c r="D81" s="59" t="s">
        <v>1288</v>
      </c>
      <c r="E81" s="11" t="s">
        <v>1287</v>
      </c>
      <c r="F81" s="17" t="s">
        <v>1286</v>
      </c>
      <c r="G81" s="58">
        <v>2</v>
      </c>
      <c r="H81" s="57">
        <v>6.08</v>
      </c>
      <c r="I81" s="103">
        <f t="shared" si="1"/>
        <v>1337.1135999999999</v>
      </c>
    </row>
    <row r="82" spans="1:9" ht="18" customHeight="1" x14ac:dyDescent="0.25">
      <c r="A82" s="60" t="s">
        <v>1042</v>
      </c>
      <c r="B82" s="60">
        <v>62086</v>
      </c>
      <c r="C82" s="60" t="s">
        <v>10</v>
      </c>
      <c r="D82" s="59" t="s">
        <v>1284</v>
      </c>
      <c r="E82" s="11" t="s">
        <v>1285</v>
      </c>
      <c r="F82" s="17" t="s">
        <v>1272</v>
      </c>
      <c r="G82" s="58">
        <v>2</v>
      </c>
      <c r="H82" s="57">
        <v>0.56666666666666288</v>
      </c>
      <c r="I82" s="103">
        <f t="shared" si="1"/>
        <v>124.62133333333249</v>
      </c>
    </row>
    <row r="83" spans="1:9" ht="18" customHeight="1" x14ac:dyDescent="0.25">
      <c r="A83" s="60" t="s">
        <v>1042</v>
      </c>
      <c r="B83" s="60">
        <v>62086</v>
      </c>
      <c r="C83" s="60" t="s">
        <v>30</v>
      </c>
      <c r="D83" s="59" t="s">
        <v>1284</v>
      </c>
      <c r="E83" s="11" t="s">
        <v>1283</v>
      </c>
      <c r="F83" s="17" t="s">
        <v>1282</v>
      </c>
      <c r="G83" s="58">
        <v>2</v>
      </c>
      <c r="H83" s="57">
        <v>0.18888888888888866</v>
      </c>
      <c r="I83" s="103">
        <f t="shared" si="1"/>
        <v>41.54044444444439</v>
      </c>
    </row>
    <row r="84" spans="1:9" ht="18" customHeight="1" x14ac:dyDescent="0.25">
      <c r="A84" s="60" t="s">
        <v>1042</v>
      </c>
      <c r="B84" s="60">
        <v>62090</v>
      </c>
      <c r="C84" s="60" t="s">
        <v>10</v>
      </c>
      <c r="D84" s="59" t="s">
        <v>1280</v>
      </c>
      <c r="E84" s="11" t="s">
        <v>1281</v>
      </c>
      <c r="F84" s="17" t="s">
        <v>1278</v>
      </c>
      <c r="G84" s="58">
        <v>2</v>
      </c>
      <c r="H84" s="57">
        <v>0.32500000000000029</v>
      </c>
      <c r="I84" s="103">
        <f t="shared" si="1"/>
        <v>71.474000000000061</v>
      </c>
    </row>
    <row r="85" spans="1:9" ht="18" customHeight="1" x14ac:dyDescent="0.25">
      <c r="A85" s="60" t="s">
        <v>1042</v>
      </c>
      <c r="B85" s="60">
        <v>62090</v>
      </c>
      <c r="C85" s="60" t="s">
        <v>30</v>
      </c>
      <c r="D85" s="59" t="s">
        <v>1280</v>
      </c>
      <c r="E85" s="11" t="s">
        <v>1279</v>
      </c>
      <c r="F85" s="17" t="s">
        <v>1278</v>
      </c>
      <c r="G85" s="58">
        <v>2</v>
      </c>
      <c r="H85" s="57">
        <v>0.19500000000000015</v>
      </c>
      <c r="I85" s="103">
        <f t="shared" si="1"/>
        <v>42.884400000000028</v>
      </c>
    </row>
    <row r="86" spans="1:9" ht="18" customHeight="1" x14ac:dyDescent="0.25">
      <c r="A86" s="60" t="s">
        <v>1042</v>
      </c>
      <c r="B86" s="60">
        <v>62092</v>
      </c>
      <c r="C86" s="60" t="s">
        <v>10</v>
      </c>
      <c r="D86" s="59" t="s">
        <v>1276</v>
      </c>
      <c r="E86" s="11" t="s">
        <v>1277</v>
      </c>
      <c r="F86" s="17" t="s">
        <v>1236</v>
      </c>
      <c r="G86" s="58">
        <v>2</v>
      </c>
      <c r="H86" s="57">
        <v>0.24054054054054216</v>
      </c>
      <c r="I86" s="103">
        <f t="shared" si="1"/>
        <v>52.899675675676029</v>
      </c>
    </row>
    <row r="87" spans="1:9" ht="18" customHeight="1" x14ac:dyDescent="0.25">
      <c r="A87" s="60" t="s">
        <v>1042</v>
      </c>
      <c r="B87" s="60">
        <v>62092</v>
      </c>
      <c r="C87" s="60" t="s">
        <v>30</v>
      </c>
      <c r="D87" s="59" t="s">
        <v>1276</v>
      </c>
      <c r="E87" s="11" t="s">
        <v>1275</v>
      </c>
      <c r="F87" s="17" t="s">
        <v>1236</v>
      </c>
      <c r="G87" s="58">
        <v>2</v>
      </c>
      <c r="H87" s="57">
        <v>0.233333333333334</v>
      </c>
      <c r="I87" s="103">
        <f t="shared" si="1"/>
        <v>51.31466666666681</v>
      </c>
    </row>
    <row r="88" spans="1:9" ht="18" customHeight="1" x14ac:dyDescent="0.25">
      <c r="A88" s="60" t="s">
        <v>1042</v>
      </c>
      <c r="B88" s="60">
        <v>62096</v>
      </c>
      <c r="C88" s="60" t="s">
        <v>10</v>
      </c>
      <c r="D88" s="59" t="s">
        <v>1274</v>
      </c>
      <c r="E88" s="11" t="s">
        <v>1273</v>
      </c>
      <c r="F88" s="17" t="s">
        <v>1272</v>
      </c>
      <c r="G88" s="58">
        <v>2</v>
      </c>
      <c r="H88" s="57">
        <v>0.3141025641025631</v>
      </c>
      <c r="I88" s="103">
        <f t="shared" si="1"/>
        <v>69.077435897435677</v>
      </c>
    </row>
    <row r="89" spans="1:9" ht="18" customHeight="1" x14ac:dyDescent="0.25">
      <c r="A89" s="60" t="s">
        <v>1042</v>
      </c>
      <c r="B89" s="60">
        <v>62098</v>
      </c>
      <c r="C89" s="60" t="s">
        <v>10</v>
      </c>
      <c r="D89" s="59" t="s">
        <v>1271</v>
      </c>
      <c r="E89" s="11" t="s">
        <v>1270</v>
      </c>
      <c r="F89" s="17" t="s">
        <v>942</v>
      </c>
      <c r="G89" s="58">
        <v>2</v>
      </c>
      <c r="H89" s="57">
        <v>0.27478632478632553</v>
      </c>
      <c r="I89" s="103">
        <f t="shared" si="1"/>
        <v>60.431008547008709</v>
      </c>
    </row>
    <row r="90" spans="1:9" ht="18" customHeight="1" x14ac:dyDescent="0.25">
      <c r="A90" s="60" t="s">
        <v>1042</v>
      </c>
      <c r="B90" s="60">
        <v>62100</v>
      </c>
      <c r="C90" s="60" t="s">
        <v>10</v>
      </c>
      <c r="D90" s="59" t="s">
        <v>1269</v>
      </c>
      <c r="E90" s="11" t="s">
        <v>1268</v>
      </c>
      <c r="F90" s="17" t="s">
        <v>1265</v>
      </c>
      <c r="G90" s="58">
        <v>2</v>
      </c>
      <c r="H90" s="57">
        <v>0.99999999999999589</v>
      </c>
      <c r="I90" s="103">
        <f t="shared" si="1"/>
        <v>219.91999999999908</v>
      </c>
    </row>
    <row r="91" spans="1:9" ht="18" customHeight="1" x14ac:dyDescent="0.25">
      <c r="A91" s="60" t="s">
        <v>1042</v>
      </c>
      <c r="B91" s="60">
        <v>62101</v>
      </c>
      <c r="C91" s="60" t="s">
        <v>10</v>
      </c>
      <c r="D91" s="59" t="s">
        <v>1267</v>
      </c>
      <c r="E91" s="11" t="s">
        <v>1266</v>
      </c>
      <c r="F91" s="17" t="s">
        <v>1265</v>
      </c>
      <c r="G91" s="58">
        <v>2</v>
      </c>
      <c r="H91" s="57">
        <v>2</v>
      </c>
      <c r="I91" s="103">
        <f t="shared" si="1"/>
        <v>439.84</v>
      </c>
    </row>
    <row r="92" spans="1:9" ht="18" customHeight="1" x14ac:dyDescent="0.25">
      <c r="A92" s="60" t="s">
        <v>1042</v>
      </c>
      <c r="B92" s="60">
        <v>62103</v>
      </c>
      <c r="C92" s="60" t="s">
        <v>10</v>
      </c>
      <c r="D92" s="59" t="s">
        <v>1263</v>
      </c>
      <c r="E92" s="11" t="s">
        <v>1264</v>
      </c>
      <c r="F92" s="17" t="s">
        <v>593</v>
      </c>
      <c r="G92" s="58">
        <v>2</v>
      </c>
      <c r="H92" s="57">
        <v>1.0000000000000016</v>
      </c>
      <c r="I92" s="103">
        <f t="shared" si="1"/>
        <v>219.92000000000033</v>
      </c>
    </row>
    <row r="93" spans="1:9" ht="18" customHeight="1" x14ac:dyDescent="0.25">
      <c r="A93" s="60" t="s">
        <v>1042</v>
      </c>
      <c r="B93" s="60">
        <v>62103</v>
      </c>
      <c r="C93" s="60" t="s">
        <v>30</v>
      </c>
      <c r="D93" s="59" t="s">
        <v>1263</v>
      </c>
      <c r="E93" s="11" t="s">
        <v>1262</v>
      </c>
      <c r="F93" s="17" t="s">
        <v>593</v>
      </c>
      <c r="G93" s="58">
        <v>2</v>
      </c>
      <c r="H93" s="57">
        <v>0.60000000000000098</v>
      </c>
      <c r="I93" s="103">
        <f t="shared" si="1"/>
        <v>131.9520000000002</v>
      </c>
    </row>
    <row r="94" spans="1:9" ht="18" customHeight="1" x14ac:dyDescent="0.25">
      <c r="A94" s="60" t="s">
        <v>1042</v>
      </c>
      <c r="B94" s="60">
        <v>62105</v>
      </c>
      <c r="C94" s="60" t="s">
        <v>10</v>
      </c>
      <c r="D94" s="59" t="s">
        <v>1261</v>
      </c>
      <c r="E94" s="11" t="s">
        <v>1260</v>
      </c>
      <c r="F94" s="17" t="s">
        <v>1259</v>
      </c>
      <c r="G94" s="58">
        <v>2</v>
      </c>
      <c r="H94" s="57">
        <v>0.55999999999999939</v>
      </c>
      <c r="I94" s="103">
        <f t="shared" si="1"/>
        <v>123.15519999999985</v>
      </c>
    </row>
    <row r="95" spans="1:9" ht="18" customHeight="1" x14ac:dyDescent="0.25">
      <c r="A95" s="60" t="s">
        <v>1042</v>
      </c>
      <c r="B95" s="60">
        <v>62109</v>
      </c>
      <c r="C95" s="60" t="s">
        <v>10</v>
      </c>
      <c r="D95" s="59" t="s">
        <v>1258</v>
      </c>
      <c r="E95" s="11" t="s">
        <v>1257</v>
      </c>
      <c r="F95" s="17" t="s">
        <v>737</v>
      </c>
      <c r="G95" s="58">
        <v>2</v>
      </c>
      <c r="H95" s="57">
        <v>0.53809523809523752</v>
      </c>
      <c r="I95" s="103">
        <f t="shared" si="1"/>
        <v>118.33790476190462</v>
      </c>
    </row>
    <row r="96" spans="1:9" ht="18" customHeight="1" x14ac:dyDescent="0.25">
      <c r="A96" s="60" t="s">
        <v>1042</v>
      </c>
      <c r="B96" s="60">
        <v>62113</v>
      </c>
      <c r="C96" s="60" t="s">
        <v>10</v>
      </c>
      <c r="D96" s="59" t="s">
        <v>1256</v>
      </c>
      <c r="E96" s="11" t="s">
        <v>1255</v>
      </c>
      <c r="F96" s="17" t="s">
        <v>1254</v>
      </c>
      <c r="G96" s="58">
        <v>2</v>
      </c>
      <c r="H96" s="57">
        <v>4.8750000000000328E-2</v>
      </c>
      <c r="I96" s="103">
        <f t="shared" si="1"/>
        <v>10.721100000000071</v>
      </c>
    </row>
    <row r="97" spans="1:9" ht="18" customHeight="1" x14ac:dyDescent="0.25">
      <c r="A97" s="60" t="s">
        <v>1042</v>
      </c>
      <c r="B97" s="60">
        <v>62116</v>
      </c>
      <c r="C97" s="60" t="s">
        <v>10</v>
      </c>
      <c r="D97" s="59" t="s">
        <v>1253</v>
      </c>
      <c r="E97" s="11" t="s">
        <v>1252</v>
      </c>
      <c r="F97" s="17" t="s">
        <v>1251</v>
      </c>
      <c r="G97" s="58">
        <v>2</v>
      </c>
      <c r="H97" s="57">
        <v>1.9551282051281964E-2</v>
      </c>
      <c r="I97" s="103">
        <f t="shared" si="1"/>
        <v>4.2997179487179293</v>
      </c>
    </row>
    <row r="98" spans="1:9" ht="18" customHeight="1" x14ac:dyDescent="0.25">
      <c r="A98" s="60" t="s">
        <v>1042</v>
      </c>
      <c r="B98" s="60">
        <v>62134</v>
      </c>
      <c r="C98" s="60" t="s">
        <v>10</v>
      </c>
      <c r="D98" s="59" t="s">
        <v>1249</v>
      </c>
      <c r="E98" s="11" t="s">
        <v>1250</v>
      </c>
      <c r="F98" s="17"/>
      <c r="G98" s="58">
        <v>2</v>
      </c>
      <c r="H98" s="57">
        <v>3</v>
      </c>
      <c r="I98" s="103">
        <f t="shared" si="1"/>
        <v>659.76</v>
      </c>
    </row>
    <row r="99" spans="1:9" ht="18" customHeight="1" x14ac:dyDescent="0.25">
      <c r="A99" s="60" t="s">
        <v>1042</v>
      </c>
      <c r="B99" s="60">
        <v>62134</v>
      </c>
      <c r="C99" s="60" t="s">
        <v>30</v>
      </c>
      <c r="D99" s="59" t="s">
        <v>1249</v>
      </c>
      <c r="E99" s="11" t="s">
        <v>1248</v>
      </c>
      <c r="F99" s="17"/>
      <c r="G99" s="58">
        <v>2</v>
      </c>
      <c r="H99" s="57">
        <v>1.8</v>
      </c>
      <c r="I99" s="103">
        <f t="shared" si="1"/>
        <v>395.85599999999999</v>
      </c>
    </row>
    <row r="100" spans="1:9" ht="18" customHeight="1" x14ac:dyDescent="0.25">
      <c r="A100" s="60" t="s">
        <v>1042</v>
      </c>
      <c r="B100" s="60">
        <v>62154</v>
      </c>
      <c r="C100" s="60" t="s">
        <v>10</v>
      </c>
      <c r="D100" s="59" t="s">
        <v>1247</v>
      </c>
      <c r="E100" s="11" t="s">
        <v>1246</v>
      </c>
      <c r="F100" s="61"/>
      <c r="G100" s="58">
        <v>2</v>
      </c>
      <c r="H100" s="57">
        <v>0.48235294117646904</v>
      </c>
      <c r="I100" s="103">
        <f t="shared" si="1"/>
        <v>106.07905882352907</v>
      </c>
    </row>
    <row r="101" spans="1:9" ht="18" customHeight="1" x14ac:dyDescent="0.25">
      <c r="A101" s="60" t="s">
        <v>1042</v>
      </c>
      <c r="B101" s="60">
        <v>62155</v>
      </c>
      <c r="C101" s="60" t="s">
        <v>10</v>
      </c>
      <c r="D101" s="59" t="s">
        <v>1245</v>
      </c>
      <c r="E101" s="11" t="s">
        <v>1244</v>
      </c>
      <c r="F101" s="61"/>
      <c r="G101" s="58">
        <v>2</v>
      </c>
      <c r="H101" s="57">
        <v>0.21818181818182208</v>
      </c>
      <c r="I101" s="103">
        <f t="shared" si="1"/>
        <v>47.982545454546312</v>
      </c>
    </row>
    <row r="102" spans="1:9" ht="18" customHeight="1" x14ac:dyDescent="0.25">
      <c r="A102" s="60" t="s">
        <v>1042</v>
      </c>
      <c r="B102" s="60">
        <v>62156</v>
      </c>
      <c r="C102" s="60" t="s">
        <v>10</v>
      </c>
      <c r="D102" s="59" t="s">
        <v>1242</v>
      </c>
      <c r="E102" s="11" t="s">
        <v>659</v>
      </c>
      <c r="F102" s="17" t="s">
        <v>1243</v>
      </c>
      <c r="G102" s="58">
        <v>2</v>
      </c>
      <c r="H102" s="57">
        <v>0.39999999999999897</v>
      </c>
      <c r="I102" s="103">
        <f t="shared" si="1"/>
        <v>87.967999999999762</v>
      </c>
    </row>
    <row r="103" spans="1:9" ht="18" customHeight="1" x14ac:dyDescent="0.25">
      <c r="A103" s="60" t="s">
        <v>1042</v>
      </c>
      <c r="B103" s="60">
        <v>62156</v>
      </c>
      <c r="C103" s="60" t="s">
        <v>30</v>
      </c>
      <c r="D103" s="59" t="s">
        <v>1242</v>
      </c>
      <c r="E103" s="11" t="s">
        <v>1241</v>
      </c>
      <c r="F103" s="17" t="s">
        <v>1240</v>
      </c>
      <c r="G103" s="58">
        <v>2</v>
      </c>
      <c r="H103" s="57">
        <v>0.26666666666666566</v>
      </c>
      <c r="I103" s="103">
        <f t="shared" si="1"/>
        <v>58.645333333333106</v>
      </c>
    </row>
    <row r="104" spans="1:9" ht="18" customHeight="1" x14ac:dyDescent="0.25">
      <c r="A104" s="60" t="s">
        <v>1042</v>
      </c>
      <c r="B104" s="60">
        <v>62161</v>
      </c>
      <c r="C104" s="60" t="s">
        <v>10</v>
      </c>
      <c r="D104" s="59" t="s">
        <v>1238</v>
      </c>
      <c r="E104" s="11" t="s">
        <v>1239</v>
      </c>
      <c r="F104" s="17" t="s">
        <v>1236</v>
      </c>
      <c r="G104" s="58">
        <v>2</v>
      </c>
      <c r="H104" s="57">
        <v>0.51666666666666949</v>
      </c>
      <c r="I104" s="103">
        <f t="shared" si="1"/>
        <v>113.62533333333396</v>
      </c>
    </row>
    <row r="105" spans="1:9" ht="18" customHeight="1" x14ac:dyDescent="0.25">
      <c r="A105" s="60" t="s">
        <v>1042</v>
      </c>
      <c r="B105" s="60">
        <v>62161</v>
      </c>
      <c r="C105" s="60" t="s">
        <v>30</v>
      </c>
      <c r="D105" s="59" t="s">
        <v>1238</v>
      </c>
      <c r="E105" s="11" t="s">
        <v>1237</v>
      </c>
      <c r="F105" s="26" t="s">
        <v>1236</v>
      </c>
      <c r="G105" s="58">
        <v>2</v>
      </c>
      <c r="H105" s="57">
        <v>0.19999999999999901</v>
      </c>
      <c r="I105" s="103">
        <f t="shared" si="1"/>
        <v>43.983999999999781</v>
      </c>
    </row>
    <row r="106" spans="1:9" ht="18" customHeight="1" x14ac:dyDescent="0.25">
      <c r="A106" s="60" t="s">
        <v>1042</v>
      </c>
      <c r="B106" s="60">
        <v>62171</v>
      </c>
      <c r="C106" s="60" t="s">
        <v>10</v>
      </c>
      <c r="D106" s="59" t="s">
        <v>1233</v>
      </c>
      <c r="E106" s="11" t="s">
        <v>1235</v>
      </c>
      <c r="F106" s="26" t="s">
        <v>1234</v>
      </c>
      <c r="G106" s="58">
        <v>2</v>
      </c>
      <c r="H106" s="57">
        <v>0.19999999999999901</v>
      </c>
      <c r="I106" s="103">
        <f t="shared" si="1"/>
        <v>43.983999999999781</v>
      </c>
    </row>
    <row r="107" spans="1:9" ht="18" customHeight="1" x14ac:dyDescent="0.25">
      <c r="A107" s="60" t="s">
        <v>1042</v>
      </c>
      <c r="B107" s="60">
        <v>62171</v>
      </c>
      <c r="C107" s="60" t="s">
        <v>30</v>
      </c>
      <c r="D107" s="59" t="s">
        <v>1233</v>
      </c>
      <c r="E107" s="11" t="s">
        <v>939</v>
      </c>
      <c r="F107" s="26"/>
      <c r="G107" s="58">
        <v>2</v>
      </c>
      <c r="H107" s="57">
        <v>0.1599999999999992</v>
      </c>
      <c r="I107" s="103">
        <f t="shared" si="1"/>
        <v>35.18719999999982</v>
      </c>
    </row>
    <row r="108" spans="1:9" ht="18" customHeight="1" x14ac:dyDescent="0.25">
      <c r="A108" s="60" t="s">
        <v>1042</v>
      </c>
      <c r="B108" s="60">
        <v>62185</v>
      </c>
      <c r="C108" s="60" t="s">
        <v>10</v>
      </c>
      <c r="D108" s="59" t="s">
        <v>1231</v>
      </c>
      <c r="E108" s="11" t="s">
        <v>1232</v>
      </c>
      <c r="F108" s="26" t="s">
        <v>1229</v>
      </c>
      <c r="G108" s="58">
        <v>2</v>
      </c>
      <c r="H108" s="57">
        <v>1.1904761904761914</v>
      </c>
      <c r="I108" s="103">
        <f t="shared" si="1"/>
        <v>261.80952380952397</v>
      </c>
    </row>
    <row r="109" spans="1:9" ht="18" customHeight="1" x14ac:dyDescent="0.25">
      <c r="A109" s="60" t="s">
        <v>1042</v>
      </c>
      <c r="B109" s="60">
        <v>62185</v>
      </c>
      <c r="C109" s="60" t="s">
        <v>30</v>
      </c>
      <c r="D109" s="59" t="s">
        <v>1231</v>
      </c>
      <c r="E109" s="11" t="s">
        <v>1230</v>
      </c>
      <c r="F109" s="17" t="s">
        <v>1229</v>
      </c>
      <c r="G109" s="58">
        <v>2</v>
      </c>
      <c r="H109" s="57">
        <v>0.71428571428571475</v>
      </c>
      <c r="I109" s="103">
        <f t="shared" si="1"/>
        <v>157.08571428571437</v>
      </c>
    </row>
    <row r="110" spans="1:9" ht="18" customHeight="1" x14ac:dyDescent="0.25">
      <c r="A110" s="60" t="s">
        <v>1042</v>
      </c>
      <c r="B110" s="60">
        <v>62187</v>
      </c>
      <c r="C110" s="60" t="s">
        <v>10</v>
      </c>
      <c r="D110" s="59" t="s">
        <v>1226</v>
      </c>
      <c r="E110" s="11" t="s">
        <v>1228</v>
      </c>
      <c r="F110" s="17" t="s">
        <v>1227</v>
      </c>
      <c r="G110" s="58">
        <v>2</v>
      </c>
      <c r="H110" s="57">
        <v>1.5</v>
      </c>
      <c r="I110" s="103">
        <f t="shared" si="1"/>
        <v>329.88</v>
      </c>
    </row>
    <row r="111" spans="1:9" ht="18" customHeight="1" x14ac:dyDescent="0.25">
      <c r="A111" s="60" t="s">
        <v>1042</v>
      </c>
      <c r="B111" s="60">
        <v>62187</v>
      </c>
      <c r="C111" s="60" t="s">
        <v>30</v>
      </c>
      <c r="D111" s="59" t="s">
        <v>1226</v>
      </c>
      <c r="E111" s="11" t="s">
        <v>1225</v>
      </c>
      <c r="F111" s="17" t="s">
        <v>1224</v>
      </c>
      <c r="G111" s="58">
        <v>2</v>
      </c>
      <c r="H111" s="57">
        <v>0.99500000000000044</v>
      </c>
      <c r="I111" s="103">
        <f t="shared" si="1"/>
        <v>218.82040000000009</v>
      </c>
    </row>
    <row r="112" spans="1:9" ht="18" customHeight="1" x14ac:dyDescent="0.25">
      <c r="A112" s="60" t="s">
        <v>1042</v>
      </c>
      <c r="B112" s="60">
        <v>62189</v>
      </c>
      <c r="C112" s="60" t="s">
        <v>10</v>
      </c>
      <c r="D112" s="59" t="s">
        <v>1223</v>
      </c>
      <c r="E112" s="11" t="s">
        <v>1215</v>
      </c>
      <c r="F112" s="17" t="s">
        <v>1221</v>
      </c>
      <c r="G112" s="58">
        <v>2</v>
      </c>
      <c r="H112" s="57">
        <v>1.8</v>
      </c>
      <c r="I112" s="103">
        <f t="shared" si="1"/>
        <v>395.85599999999999</v>
      </c>
    </row>
    <row r="113" spans="1:9" ht="18" customHeight="1" x14ac:dyDescent="0.25">
      <c r="A113" s="60" t="s">
        <v>1042</v>
      </c>
      <c r="B113" s="60">
        <v>62189</v>
      </c>
      <c r="C113" s="60" t="s">
        <v>30</v>
      </c>
      <c r="D113" s="59" t="s">
        <v>1223</v>
      </c>
      <c r="E113" s="11" t="s">
        <v>1222</v>
      </c>
      <c r="F113" s="17" t="s">
        <v>1221</v>
      </c>
      <c r="G113" s="58">
        <v>2</v>
      </c>
      <c r="H113" s="57">
        <v>1.0799999999999998</v>
      </c>
      <c r="I113" s="103">
        <f t="shared" si="1"/>
        <v>237.51359999999994</v>
      </c>
    </row>
    <row r="114" spans="1:9" ht="18" customHeight="1" x14ac:dyDescent="0.25">
      <c r="A114" s="60" t="s">
        <v>1042</v>
      </c>
      <c r="B114" s="60">
        <v>62191</v>
      </c>
      <c r="C114" s="60" t="s">
        <v>10</v>
      </c>
      <c r="D114" s="59" t="s">
        <v>1218</v>
      </c>
      <c r="E114" s="11" t="s">
        <v>1220</v>
      </c>
      <c r="F114" s="17" t="s">
        <v>1219</v>
      </c>
      <c r="G114" s="58">
        <v>2</v>
      </c>
      <c r="H114" s="57">
        <v>3</v>
      </c>
      <c r="I114" s="103">
        <f t="shared" si="1"/>
        <v>659.76</v>
      </c>
    </row>
    <row r="115" spans="1:9" ht="18" customHeight="1" x14ac:dyDescent="0.25">
      <c r="A115" s="60" t="s">
        <v>1042</v>
      </c>
      <c r="B115" s="60">
        <v>62191</v>
      </c>
      <c r="C115" s="60" t="s">
        <v>30</v>
      </c>
      <c r="D115" s="59" t="s">
        <v>1218</v>
      </c>
      <c r="E115" s="11" t="s">
        <v>1217</v>
      </c>
      <c r="F115" s="17" t="s">
        <v>1216</v>
      </c>
      <c r="G115" s="58">
        <v>2</v>
      </c>
      <c r="H115" s="57">
        <v>1.8</v>
      </c>
      <c r="I115" s="103">
        <f t="shared" si="1"/>
        <v>395.85599999999999</v>
      </c>
    </row>
    <row r="116" spans="1:9" ht="18" customHeight="1" x14ac:dyDescent="0.25">
      <c r="A116" s="60" t="s">
        <v>1042</v>
      </c>
      <c r="B116" s="60">
        <v>62196</v>
      </c>
      <c r="C116" s="60" t="s">
        <v>10</v>
      </c>
      <c r="D116" s="59" t="s">
        <v>1213</v>
      </c>
      <c r="E116" s="11" t="s">
        <v>1215</v>
      </c>
      <c r="F116" s="17" t="s">
        <v>1214</v>
      </c>
      <c r="G116" s="58">
        <v>2</v>
      </c>
      <c r="H116" s="57">
        <v>4</v>
      </c>
      <c r="I116" s="103">
        <f t="shared" si="1"/>
        <v>879.68</v>
      </c>
    </row>
    <row r="117" spans="1:9" ht="18" customHeight="1" x14ac:dyDescent="0.25">
      <c r="A117" s="60" t="s">
        <v>1042</v>
      </c>
      <c r="B117" s="60">
        <v>62196</v>
      </c>
      <c r="C117" s="60" t="s">
        <v>30</v>
      </c>
      <c r="D117" s="59" t="s">
        <v>1213</v>
      </c>
      <c r="E117" s="11" t="s">
        <v>1212</v>
      </c>
      <c r="F117" s="17" t="s">
        <v>1211</v>
      </c>
      <c r="G117" s="58">
        <v>2</v>
      </c>
      <c r="H117" s="57">
        <v>2.4</v>
      </c>
      <c r="I117" s="103">
        <f t="shared" si="1"/>
        <v>527.80799999999999</v>
      </c>
    </row>
    <row r="118" spans="1:9" ht="18" customHeight="1" x14ac:dyDescent="0.25">
      <c r="A118" s="60" t="s">
        <v>1042</v>
      </c>
      <c r="B118" s="60">
        <v>62201</v>
      </c>
      <c r="C118" s="60" t="s">
        <v>10</v>
      </c>
      <c r="D118" s="59" t="s">
        <v>1208</v>
      </c>
      <c r="E118" s="11" t="s">
        <v>1210</v>
      </c>
      <c r="F118" s="17" t="s">
        <v>1209</v>
      </c>
      <c r="G118" s="58">
        <v>2</v>
      </c>
      <c r="H118" s="57">
        <v>1.5</v>
      </c>
      <c r="I118" s="103">
        <f t="shared" si="1"/>
        <v>329.88</v>
      </c>
    </row>
    <row r="119" spans="1:9" ht="18" customHeight="1" x14ac:dyDescent="0.25">
      <c r="A119" s="60" t="s">
        <v>1042</v>
      </c>
      <c r="B119" s="60">
        <v>62201</v>
      </c>
      <c r="C119" s="60" t="s">
        <v>30</v>
      </c>
      <c r="D119" s="59" t="s">
        <v>1208</v>
      </c>
      <c r="E119" s="11" t="s">
        <v>1207</v>
      </c>
      <c r="F119" s="17" t="s">
        <v>1206</v>
      </c>
      <c r="G119" s="58">
        <v>2</v>
      </c>
      <c r="H119" s="57">
        <v>0.9</v>
      </c>
      <c r="I119" s="103">
        <f t="shared" si="1"/>
        <v>197.928</v>
      </c>
    </row>
    <row r="120" spans="1:9" ht="18" customHeight="1" x14ac:dyDescent="0.25">
      <c r="A120" s="60" t="s">
        <v>1042</v>
      </c>
      <c r="B120" s="60">
        <v>62203</v>
      </c>
      <c r="C120" s="60" t="s">
        <v>10</v>
      </c>
      <c r="D120" s="59" t="s">
        <v>1203</v>
      </c>
      <c r="E120" s="11" t="s">
        <v>1205</v>
      </c>
      <c r="F120" s="17" t="s">
        <v>1204</v>
      </c>
      <c r="G120" s="58">
        <v>2</v>
      </c>
      <c r="H120" s="57">
        <v>1.8</v>
      </c>
      <c r="I120" s="103">
        <f t="shared" si="1"/>
        <v>395.85599999999999</v>
      </c>
    </row>
    <row r="121" spans="1:9" ht="18" customHeight="1" x14ac:dyDescent="0.25">
      <c r="A121" s="60" t="s">
        <v>1042</v>
      </c>
      <c r="B121" s="60">
        <v>62203</v>
      </c>
      <c r="C121" s="60" t="s">
        <v>30</v>
      </c>
      <c r="D121" s="59" t="s">
        <v>1203</v>
      </c>
      <c r="E121" s="11" t="s">
        <v>1202</v>
      </c>
      <c r="F121" s="17" t="s">
        <v>1201</v>
      </c>
      <c r="G121" s="58">
        <v>2</v>
      </c>
      <c r="H121" s="57">
        <v>1.0799999999999998</v>
      </c>
      <c r="I121" s="103">
        <f t="shared" si="1"/>
        <v>237.51359999999994</v>
      </c>
    </row>
    <row r="122" spans="1:9" ht="18" customHeight="1" x14ac:dyDescent="0.25">
      <c r="A122" s="60" t="s">
        <v>1042</v>
      </c>
      <c r="B122" s="63">
        <v>62208</v>
      </c>
      <c r="C122" s="60" t="s">
        <v>10</v>
      </c>
      <c r="D122" s="59" t="s">
        <v>1198</v>
      </c>
      <c r="E122" s="11" t="s">
        <v>1200</v>
      </c>
      <c r="F122" s="17" t="s">
        <v>1199</v>
      </c>
      <c r="G122" s="58">
        <v>6</v>
      </c>
      <c r="H122" s="57">
        <v>24.64</v>
      </c>
      <c r="I122" s="103">
        <f t="shared" si="1"/>
        <v>5418.8288000000002</v>
      </c>
    </row>
    <row r="123" spans="1:9" ht="18" customHeight="1" x14ac:dyDescent="0.25">
      <c r="A123" s="60" t="s">
        <v>1042</v>
      </c>
      <c r="B123" s="63">
        <v>62208</v>
      </c>
      <c r="C123" s="60" t="s">
        <v>30</v>
      </c>
      <c r="D123" s="59" t="s">
        <v>1198</v>
      </c>
      <c r="E123" s="11" t="s">
        <v>1197</v>
      </c>
      <c r="F123" s="17" t="s">
        <v>1196</v>
      </c>
      <c r="G123" s="58">
        <v>6</v>
      </c>
      <c r="H123" s="57">
        <v>14.784000000000001</v>
      </c>
      <c r="I123" s="103">
        <f t="shared" si="1"/>
        <v>3251.2972799999998</v>
      </c>
    </row>
    <row r="124" spans="1:9" ht="18" customHeight="1" x14ac:dyDescent="0.25">
      <c r="A124" s="60" t="s">
        <v>1042</v>
      </c>
      <c r="B124" s="60">
        <v>62210</v>
      </c>
      <c r="C124" s="60" t="s">
        <v>10</v>
      </c>
      <c r="D124" s="59" t="s">
        <v>1195</v>
      </c>
      <c r="E124" s="11" t="s">
        <v>1194</v>
      </c>
      <c r="F124" s="17"/>
      <c r="G124" s="58">
        <v>2</v>
      </c>
      <c r="H124" s="57">
        <v>0.40000000000000152</v>
      </c>
      <c r="I124" s="103">
        <f t="shared" si="1"/>
        <v>87.96800000000033</v>
      </c>
    </row>
    <row r="125" spans="1:9" ht="18" customHeight="1" x14ac:dyDescent="0.25">
      <c r="A125" s="60" t="s">
        <v>1042</v>
      </c>
      <c r="B125" s="62">
        <v>62214</v>
      </c>
      <c r="C125" s="60" t="s">
        <v>10</v>
      </c>
      <c r="D125" s="59" t="s">
        <v>1191</v>
      </c>
      <c r="E125" s="11" t="s">
        <v>1193</v>
      </c>
      <c r="F125" s="17" t="s">
        <v>1192</v>
      </c>
      <c r="G125" s="58">
        <v>2</v>
      </c>
      <c r="H125" s="57">
        <v>0.72093023255814082</v>
      </c>
      <c r="I125" s="103">
        <f t="shared" si="1"/>
        <v>158.54697674418631</v>
      </c>
    </row>
    <row r="126" spans="1:9" ht="18" customHeight="1" x14ac:dyDescent="0.25">
      <c r="A126" s="60" t="s">
        <v>1042</v>
      </c>
      <c r="B126" s="62">
        <v>62214</v>
      </c>
      <c r="C126" s="60" t="s">
        <v>30</v>
      </c>
      <c r="D126" s="59" t="s">
        <v>1191</v>
      </c>
      <c r="E126" s="11" t="s">
        <v>1190</v>
      </c>
      <c r="F126" s="17" t="s">
        <v>1189</v>
      </c>
      <c r="G126" s="58">
        <v>2</v>
      </c>
      <c r="H126" s="57">
        <v>0.58678160919540301</v>
      </c>
      <c r="I126" s="103">
        <f t="shared" si="1"/>
        <v>129.04501149425303</v>
      </c>
    </row>
    <row r="127" spans="1:9" ht="18" customHeight="1" x14ac:dyDescent="0.25">
      <c r="A127" s="60" t="s">
        <v>1042</v>
      </c>
      <c r="B127" s="60">
        <v>62215</v>
      </c>
      <c r="C127" s="60" t="s">
        <v>10</v>
      </c>
      <c r="D127" s="59" t="s">
        <v>1187</v>
      </c>
      <c r="E127" s="11" t="s">
        <v>1188</v>
      </c>
      <c r="F127" s="17" t="s">
        <v>1185</v>
      </c>
      <c r="G127" s="58">
        <v>4</v>
      </c>
      <c r="H127" s="57">
        <v>24.839999999999996</v>
      </c>
      <c r="I127" s="103">
        <f t="shared" si="1"/>
        <v>5462.8127999999988</v>
      </c>
    </row>
    <row r="128" spans="1:9" ht="18" customHeight="1" x14ac:dyDescent="0.25">
      <c r="A128" s="60" t="s">
        <v>1042</v>
      </c>
      <c r="B128" s="60">
        <v>62215</v>
      </c>
      <c r="C128" s="60" t="s">
        <v>30</v>
      </c>
      <c r="D128" s="59" t="s">
        <v>1187</v>
      </c>
      <c r="E128" s="11" t="s">
        <v>1186</v>
      </c>
      <c r="F128" s="17" t="s">
        <v>1185</v>
      </c>
      <c r="G128" s="58">
        <v>4</v>
      </c>
      <c r="H128" s="57">
        <v>16.559999999999999</v>
      </c>
      <c r="I128" s="103">
        <f t="shared" si="1"/>
        <v>3641.8751999999995</v>
      </c>
    </row>
    <row r="129" spans="1:9" ht="18" customHeight="1" x14ac:dyDescent="0.25">
      <c r="A129" s="60" t="s">
        <v>1042</v>
      </c>
      <c r="B129" s="60">
        <v>62216</v>
      </c>
      <c r="C129" s="60" t="s">
        <v>10</v>
      </c>
      <c r="D129" s="59" t="s">
        <v>1183</v>
      </c>
      <c r="E129" s="11" t="s">
        <v>1184</v>
      </c>
      <c r="F129" s="17" t="s">
        <v>1181</v>
      </c>
      <c r="G129" s="58">
        <v>2</v>
      </c>
      <c r="H129" s="57">
        <v>1.4500000000000051</v>
      </c>
      <c r="I129" s="103">
        <f t="shared" si="1"/>
        <v>318.88400000000109</v>
      </c>
    </row>
    <row r="130" spans="1:9" ht="18" customHeight="1" x14ac:dyDescent="0.25">
      <c r="A130" s="60" t="s">
        <v>1042</v>
      </c>
      <c r="B130" s="60">
        <v>62216</v>
      </c>
      <c r="C130" s="60" t="s">
        <v>30</v>
      </c>
      <c r="D130" s="59" t="s">
        <v>1183</v>
      </c>
      <c r="E130" s="11" t="s">
        <v>1182</v>
      </c>
      <c r="F130" s="17" t="s">
        <v>1181</v>
      </c>
      <c r="G130" s="58">
        <v>2</v>
      </c>
      <c r="H130" s="57">
        <v>0.87000000000000299</v>
      </c>
      <c r="I130" s="103">
        <f t="shared" si="1"/>
        <v>191.33040000000065</v>
      </c>
    </row>
    <row r="131" spans="1:9" ht="18" customHeight="1" x14ac:dyDescent="0.25">
      <c r="A131" s="60" t="s">
        <v>1042</v>
      </c>
      <c r="B131" s="60">
        <v>62219</v>
      </c>
      <c r="C131" s="60" t="s">
        <v>10</v>
      </c>
      <c r="D131" s="59" t="s">
        <v>1178</v>
      </c>
      <c r="E131" s="11" t="s">
        <v>1180</v>
      </c>
      <c r="F131" s="17" t="s">
        <v>1179</v>
      </c>
      <c r="G131" s="58">
        <v>4</v>
      </c>
      <c r="H131" s="57">
        <v>20.7</v>
      </c>
      <c r="I131" s="103">
        <f t="shared" ref="I131:I194" si="2">H131*219.92</f>
        <v>4552.3439999999991</v>
      </c>
    </row>
    <row r="132" spans="1:9" ht="18" customHeight="1" x14ac:dyDescent="0.25">
      <c r="A132" s="60" t="s">
        <v>1042</v>
      </c>
      <c r="B132" s="60">
        <v>62219</v>
      </c>
      <c r="C132" s="60" t="s">
        <v>30</v>
      </c>
      <c r="D132" s="59" t="s">
        <v>1178</v>
      </c>
      <c r="E132" s="11" t="s">
        <v>1177</v>
      </c>
      <c r="F132" s="17" t="s">
        <v>1176</v>
      </c>
      <c r="G132" s="58">
        <v>4</v>
      </c>
      <c r="H132" s="57">
        <v>13.799999999999999</v>
      </c>
      <c r="I132" s="103">
        <f t="shared" si="2"/>
        <v>3034.8959999999997</v>
      </c>
    </row>
    <row r="133" spans="1:9" ht="18" customHeight="1" x14ac:dyDescent="0.25">
      <c r="A133" s="60" t="s">
        <v>1042</v>
      </c>
      <c r="B133" s="60">
        <v>62226</v>
      </c>
      <c r="C133" s="60" t="s">
        <v>10</v>
      </c>
      <c r="D133" s="59" t="s">
        <v>1175</v>
      </c>
      <c r="E133" s="11" t="s">
        <v>1173</v>
      </c>
      <c r="F133" s="17" t="s">
        <v>1145</v>
      </c>
      <c r="G133" s="58">
        <v>2</v>
      </c>
      <c r="H133" s="57">
        <v>15</v>
      </c>
      <c r="I133" s="103">
        <f t="shared" si="2"/>
        <v>3298.7999999999997</v>
      </c>
    </row>
    <row r="134" spans="1:9" ht="18" customHeight="1" x14ac:dyDescent="0.25">
      <c r="A134" s="60" t="s">
        <v>1042</v>
      </c>
      <c r="B134" s="60">
        <v>62226</v>
      </c>
      <c r="C134" s="60" t="s">
        <v>30</v>
      </c>
      <c r="D134" s="59" t="s">
        <v>1175</v>
      </c>
      <c r="E134" s="11" t="s">
        <v>1170</v>
      </c>
      <c r="F134" s="17" t="s">
        <v>1174</v>
      </c>
      <c r="G134" s="58">
        <v>2</v>
      </c>
      <c r="H134" s="57">
        <v>9</v>
      </c>
      <c r="I134" s="103">
        <f t="shared" si="2"/>
        <v>1979.28</v>
      </c>
    </row>
    <row r="135" spans="1:9" ht="18" customHeight="1" x14ac:dyDescent="0.25">
      <c r="A135" s="60" t="s">
        <v>1042</v>
      </c>
      <c r="B135" s="60">
        <v>62228</v>
      </c>
      <c r="C135" s="60" t="s">
        <v>10</v>
      </c>
      <c r="D135" s="59" t="s">
        <v>1171</v>
      </c>
      <c r="E135" s="11" t="s">
        <v>1173</v>
      </c>
      <c r="F135" s="17" t="s">
        <v>1172</v>
      </c>
      <c r="G135" s="58">
        <v>2</v>
      </c>
      <c r="H135" s="57">
        <v>12</v>
      </c>
      <c r="I135" s="103">
        <f t="shared" si="2"/>
        <v>2639.04</v>
      </c>
    </row>
    <row r="136" spans="1:9" ht="18" customHeight="1" x14ac:dyDescent="0.25">
      <c r="A136" s="60" t="s">
        <v>1042</v>
      </c>
      <c r="B136" s="60">
        <v>62228</v>
      </c>
      <c r="C136" s="60" t="s">
        <v>30</v>
      </c>
      <c r="D136" s="59" t="s">
        <v>1171</v>
      </c>
      <c r="E136" s="11" t="s">
        <v>1170</v>
      </c>
      <c r="F136" s="17" t="s">
        <v>1169</v>
      </c>
      <c r="G136" s="58">
        <v>2</v>
      </c>
      <c r="H136" s="57">
        <v>7.2</v>
      </c>
      <c r="I136" s="103">
        <f t="shared" si="2"/>
        <v>1583.424</v>
      </c>
    </row>
    <row r="137" spans="1:9" ht="18" customHeight="1" x14ac:dyDescent="0.25">
      <c r="A137" s="60" t="s">
        <v>1042</v>
      </c>
      <c r="B137" s="60">
        <v>62241</v>
      </c>
      <c r="C137" s="60" t="s">
        <v>10</v>
      </c>
      <c r="D137" s="59" t="s">
        <v>1167</v>
      </c>
      <c r="E137" s="11" t="s">
        <v>1168</v>
      </c>
      <c r="F137" s="17" t="s">
        <v>1165</v>
      </c>
      <c r="G137" s="58">
        <v>2</v>
      </c>
      <c r="H137" s="57">
        <v>1.0000000000000036</v>
      </c>
      <c r="I137" s="103">
        <f t="shared" si="2"/>
        <v>219.92000000000075</v>
      </c>
    </row>
    <row r="138" spans="1:9" ht="18" customHeight="1" x14ac:dyDescent="0.25">
      <c r="A138" s="60" t="s">
        <v>1042</v>
      </c>
      <c r="B138" s="60">
        <v>62241</v>
      </c>
      <c r="C138" s="60" t="s">
        <v>30</v>
      </c>
      <c r="D138" s="59" t="s">
        <v>1167</v>
      </c>
      <c r="E138" s="11" t="s">
        <v>1166</v>
      </c>
      <c r="F138" s="17" t="s">
        <v>1165</v>
      </c>
      <c r="G138" s="58">
        <v>2</v>
      </c>
      <c r="H138" s="57">
        <v>0.50999999999999601</v>
      </c>
      <c r="I138" s="103">
        <f t="shared" si="2"/>
        <v>112.15919999999912</v>
      </c>
    </row>
    <row r="139" spans="1:9" ht="18" customHeight="1" x14ac:dyDescent="0.25">
      <c r="A139" s="60" t="s">
        <v>1042</v>
      </c>
      <c r="B139" s="60">
        <v>62243</v>
      </c>
      <c r="C139" s="60" t="s">
        <v>10</v>
      </c>
      <c r="D139" s="59" t="s">
        <v>1163</v>
      </c>
      <c r="E139" s="11" t="s">
        <v>1164</v>
      </c>
      <c r="F139" s="17" t="s">
        <v>1161</v>
      </c>
      <c r="G139" s="58">
        <v>2</v>
      </c>
      <c r="H139" s="57">
        <v>1.3</v>
      </c>
      <c r="I139" s="103">
        <f t="shared" si="2"/>
        <v>285.89600000000002</v>
      </c>
    </row>
    <row r="140" spans="1:9" ht="18" customHeight="1" x14ac:dyDescent="0.25">
      <c r="A140" s="60" t="s">
        <v>1042</v>
      </c>
      <c r="B140" s="60">
        <v>62243</v>
      </c>
      <c r="C140" s="60" t="s">
        <v>30</v>
      </c>
      <c r="D140" s="59" t="s">
        <v>1163</v>
      </c>
      <c r="E140" s="11" t="s">
        <v>1162</v>
      </c>
      <c r="F140" s="17" t="s">
        <v>1161</v>
      </c>
      <c r="G140" s="58">
        <v>2</v>
      </c>
      <c r="H140" s="57">
        <v>0.78</v>
      </c>
      <c r="I140" s="103">
        <f t="shared" si="2"/>
        <v>171.5376</v>
      </c>
    </row>
    <row r="141" spans="1:9" ht="18" customHeight="1" x14ac:dyDescent="0.25">
      <c r="A141" s="60" t="s">
        <v>1042</v>
      </c>
      <c r="B141" s="60">
        <v>62245</v>
      </c>
      <c r="C141" s="60" t="s">
        <v>10</v>
      </c>
      <c r="D141" s="59" t="s">
        <v>1158</v>
      </c>
      <c r="E141" s="11" t="s">
        <v>1160</v>
      </c>
      <c r="F141" s="17" t="s">
        <v>1159</v>
      </c>
      <c r="G141" s="58">
        <v>2</v>
      </c>
      <c r="H141" s="57">
        <v>1.3</v>
      </c>
      <c r="I141" s="103">
        <f t="shared" si="2"/>
        <v>285.89600000000002</v>
      </c>
    </row>
    <row r="142" spans="1:9" ht="18" customHeight="1" x14ac:dyDescent="0.25">
      <c r="A142" s="60" t="s">
        <v>1042</v>
      </c>
      <c r="B142" s="60">
        <v>62245</v>
      </c>
      <c r="C142" s="60" t="s">
        <v>30</v>
      </c>
      <c r="D142" s="59" t="s">
        <v>1158</v>
      </c>
      <c r="E142" s="11" t="s">
        <v>1157</v>
      </c>
      <c r="F142" s="17" t="s">
        <v>1156</v>
      </c>
      <c r="G142" s="58">
        <v>2</v>
      </c>
      <c r="H142" s="57">
        <v>0.78</v>
      </c>
      <c r="I142" s="103">
        <f t="shared" si="2"/>
        <v>171.5376</v>
      </c>
    </row>
    <row r="143" spans="1:9" ht="18" customHeight="1" x14ac:dyDescent="0.25">
      <c r="A143" s="60" t="s">
        <v>1042</v>
      </c>
      <c r="B143" s="60">
        <v>62248</v>
      </c>
      <c r="C143" s="60" t="s">
        <v>10</v>
      </c>
      <c r="D143" s="59" t="s">
        <v>1154</v>
      </c>
      <c r="E143" s="11" t="s">
        <v>1155</v>
      </c>
      <c r="F143" s="17" t="s">
        <v>1152</v>
      </c>
      <c r="G143" s="58">
        <v>2</v>
      </c>
      <c r="H143" s="57">
        <v>2.6</v>
      </c>
      <c r="I143" s="103">
        <f t="shared" si="2"/>
        <v>571.79200000000003</v>
      </c>
    </row>
    <row r="144" spans="1:9" ht="18" customHeight="1" x14ac:dyDescent="0.25">
      <c r="A144" s="60" t="s">
        <v>1042</v>
      </c>
      <c r="B144" s="60">
        <v>62248</v>
      </c>
      <c r="C144" s="60" t="s">
        <v>30</v>
      </c>
      <c r="D144" s="59" t="s">
        <v>1154</v>
      </c>
      <c r="E144" s="11" t="s">
        <v>1153</v>
      </c>
      <c r="F144" s="17" t="s">
        <v>1152</v>
      </c>
      <c r="G144" s="58">
        <v>2</v>
      </c>
      <c r="H144" s="57">
        <v>1.56</v>
      </c>
      <c r="I144" s="103">
        <f t="shared" si="2"/>
        <v>343.0752</v>
      </c>
    </row>
    <row r="145" spans="1:9" ht="18" customHeight="1" x14ac:dyDescent="0.25">
      <c r="A145" s="60" t="s">
        <v>1042</v>
      </c>
      <c r="B145" s="60">
        <v>62249</v>
      </c>
      <c r="C145" s="60" t="s">
        <v>10</v>
      </c>
      <c r="D145" s="59" t="s">
        <v>1150</v>
      </c>
      <c r="E145" s="11" t="s">
        <v>1151</v>
      </c>
      <c r="F145" s="17"/>
      <c r="G145" s="58">
        <v>2</v>
      </c>
      <c r="H145" s="57">
        <v>3.0580065359477125E-2</v>
      </c>
      <c r="I145" s="103">
        <f t="shared" si="2"/>
        <v>6.7251679738562089</v>
      </c>
    </row>
    <row r="146" spans="1:9" ht="18" customHeight="1" x14ac:dyDescent="0.25">
      <c r="A146" s="60" t="s">
        <v>1042</v>
      </c>
      <c r="B146" s="60">
        <v>62249</v>
      </c>
      <c r="C146" s="60" t="s">
        <v>30</v>
      </c>
      <c r="D146" s="59" t="s">
        <v>1150</v>
      </c>
      <c r="E146" s="11" t="s">
        <v>1149</v>
      </c>
      <c r="F146" s="17"/>
      <c r="G146" s="58">
        <v>2</v>
      </c>
      <c r="H146" s="57">
        <v>1.8348039215686278E-2</v>
      </c>
      <c r="I146" s="103">
        <f t="shared" si="2"/>
        <v>4.0351007843137259</v>
      </c>
    </row>
    <row r="147" spans="1:9" ht="18" customHeight="1" x14ac:dyDescent="0.25">
      <c r="A147" s="60" t="s">
        <v>1042</v>
      </c>
      <c r="B147" s="60">
        <v>62252</v>
      </c>
      <c r="C147" s="60" t="s">
        <v>10</v>
      </c>
      <c r="D147" s="11" t="s">
        <v>1147</v>
      </c>
      <c r="E147" s="11" t="s">
        <v>1148</v>
      </c>
      <c r="F147" s="17" t="s">
        <v>1139</v>
      </c>
      <c r="G147" s="58">
        <v>2</v>
      </c>
      <c r="H147" s="57">
        <v>1.1888888888888896</v>
      </c>
      <c r="I147" s="103">
        <f t="shared" si="2"/>
        <v>261.46044444444459</v>
      </c>
    </row>
    <row r="148" spans="1:9" ht="18" customHeight="1" x14ac:dyDescent="0.25">
      <c r="A148" s="60" t="s">
        <v>1042</v>
      </c>
      <c r="B148" s="60">
        <v>62252</v>
      </c>
      <c r="C148" s="60" t="s">
        <v>30</v>
      </c>
      <c r="D148" s="11" t="s">
        <v>1147</v>
      </c>
      <c r="E148" s="11" t="s">
        <v>1140</v>
      </c>
      <c r="F148" s="17" t="s">
        <v>1139</v>
      </c>
      <c r="G148" s="58">
        <v>2</v>
      </c>
      <c r="H148" s="57">
        <v>0.7133333333333336</v>
      </c>
      <c r="I148" s="103">
        <f t="shared" si="2"/>
        <v>156.87626666666671</v>
      </c>
    </row>
    <row r="149" spans="1:9" ht="18" customHeight="1" x14ac:dyDescent="0.25">
      <c r="A149" s="60" t="s">
        <v>1042</v>
      </c>
      <c r="B149" s="60">
        <v>62254</v>
      </c>
      <c r="C149" s="60" t="s">
        <v>10</v>
      </c>
      <c r="D149" s="59" t="s">
        <v>1144</v>
      </c>
      <c r="E149" s="11" t="s">
        <v>1146</v>
      </c>
      <c r="F149" s="17" t="s">
        <v>1145</v>
      </c>
      <c r="G149" s="58">
        <v>2</v>
      </c>
      <c r="H149" s="57">
        <v>12</v>
      </c>
      <c r="I149" s="103">
        <f t="shared" si="2"/>
        <v>2639.04</v>
      </c>
    </row>
    <row r="150" spans="1:9" ht="18" customHeight="1" x14ac:dyDescent="0.25">
      <c r="A150" s="60" t="s">
        <v>1042</v>
      </c>
      <c r="B150" s="60">
        <v>62254</v>
      </c>
      <c r="C150" s="60" t="s">
        <v>30</v>
      </c>
      <c r="D150" s="59" t="s">
        <v>1144</v>
      </c>
      <c r="E150" s="11" t="s">
        <v>1143</v>
      </c>
      <c r="F150" s="17" t="s">
        <v>1142</v>
      </c>
      <c r="G150" s="58">
        <v>2</v>
      </c>
      <c r="H150" s="57">
        <v>7.2</v>
      </c>
      <c r="I150" s="103">
        <f t="shared" si="2"/>
        <v>1583.424</v>
      </c>
    </row>
    <row r="151" spans="1:9" ht="18" customHeight="1" x14ac:dyDescent="0.25">
      <c r="A151" s="60" t="s">
        <v>1042</v>
      </c>
      <c r="B151" s="60">
        <v>62278</v>
      </c>
      <c r="C151" s="60" t="s">
        <v>30</v>
      </c>
      <c r="D151" s="59" t="s">
        <v>1141</v>
      </c>
      <c r="E151" s="11" t="s">
        <v>1140</v>
      </c>
      <c r="F151" s="17" t="s">
        <v>1139</v>
      </c>
      <c r="G151" s="58">
        <v>2</v>
      </c>
      <c r="H151" s="57">
        <v>0.39999999999999897</v>
      </c>
      <c r="I151" s="103">
        <f t="shared" si="2"/>
        <v>87.967999999999762</v>
      </c>
    </row>
    <row r="152" spans="1:9" ht="18" customHeight="1" x14ac:dyDescent="0.25">
      <c r="A152" s="60" t="s">
        <v>1042</v>
      </c>
      <c r="B152" s="60">
        <v>62284</v>
      </c>
      <c r="C152" s="60" t="s">
        <v>10</v>
      </c>
      <c r="D152" s="59" t="s">
        <v>1137</v>
      </c>
      <c r="E152" s="11" t="s">
        <v>1138</v>
      </c>
      <c r="F152" s="17"/>
      <c r="G152" s="58">
        <v>3</v>
      </c>
      <c r="H152" s="57">
        <v>1.19</v>
      </c>
      <c r="I152" s="103">
        <f t="shared" si="2"/>
        <v>261.70479999999998</v>
      </c>
    </row>
    <row r="153" spans="1:9" ht="18" customHeight="1" x14ac:dyDescent="0.25">
      <c r="A153" s="60" t="s">
        <v>1042</v>
      </c>
      <c r="B153" s="60">
        <v>62284</v>
      </c>
      <c r="C153" s="60" t="s">
        <v>30</v>
      </c>
      <c r="D153" s="59" t="s">
        <v>1137</v>
      </c>
      <c r="E153" s="11" t="s">
        <v>1136</v>
      </c>
      <c r="F153" s="17"/>
      <c r="G153" s="58">
        <v>3</v>
      </c>
      <c r="H153" s="57">
        <v>1.7849999999999999</v>
      </c>
      <c r="I153" s="103">
        <f t="shared" si="2"/>
        <v>392.55719999999997</v>
      </c>
    </row>
    <row r="154" spans="1:9" ht="18" customHeight="1" x14ac:dyDescent="0.25">
      <c r="A154" s="60" t="s">
        <v>1042</v>
      </c>
      <c r="B154" s="60">
        <v>62285</v>
      </c>
      <c r="C154" s="60" t="s">
        <v>10</v>
      </c>
      <c r="D154" s="59" t="s">
        <v>1135</v>
      </c>
      <c r="E154" s="11" t="s">
        <v>1134</v>
      </c>
      <c r="F154" s="11" t="s">
        <v>129</v>
      </c>
      <c r="G154" s="58">
        <v>2</v>
      </c>
      <c r="H154" s="57">
        <v>1.1837837837837839</v>
      </c>
      <c r="I154" s="103">
        <f t="shared" si="2"/>
        <v>260.33772972972974</v>
      </c>
    </row>
    <row r="155" spans="1:9" ht="18" customHeight="1" x14ac:dyDescent="0.25">
      <c r="A155" s="60" t="s">
        <v>1042</v>
      </c>
      <c r="B155" s="60">
        <v>62286</v>
      </c>
      <c r="C155" s="60" t="s">
        <v>10</v>
      </c>
      <c r="D155" s="59" t="s">
        <v>1133</v>
      </c>
      <c r="E155" s="11" t="s">
        <v>1132</v>
      </c>
      <c r="F155" s="11" t="s">
        <v>129</v>
      </c>
      <c r="G155" s="58">
        <v>2</v>
      </c>
      <c r="H155" s="57">
        <v>2.1277777777777791</v>
      </c>
      <c r="I155" s="103">
        <f t="shared" si="2"/>
        <v>467.94088888888916</v>
      </c>
    </row>
    <row r="156" spans="1:9" ht="18" customHeight="1" x14ac:dyDescent="0.25">
      <c r="A156" s="60" t="s">
        <v>1042</v>
      </c>
      <c r="B156" s="60">
        <v>62296</v>
      </c>
      <c r="C156" s="60" t="s">
        <v>10</v>
      </c>
      <c r="D156" s="59" t="s">
        <v>1130</v>
      </c>
      <c r="E156" s="11" t="s">
        <v>1131</v>
      </c>
      <c r="F156" s="17"/>
      <c r="G156" s="58">
        <v>3</v>
      </c>
      <c r="H156" s="57">
        <v>2.1419999999999999</v>
      </c>
      <c r="I156" s="103">
        <f t="shared" si="2"/>
        <v>471.06863999999996</v>
      </c>
    </row>
    <row r="157" spans="1:9" ht="18" customHeight="1" x14ac:dyDescent="0.25">
      <c r="A157" s="60" t="s">
        <v>1042</v>
      </c>
      <c r="B157" s="60">
        <v>62296</v>
      </c>
      <c r="C157" s="60" t="s">
        <v>30</v>
      </c>
      <c r="D157" s="59" t="s">
        <v>1130</v>
      </c>
      <c r="E157" s="11" t="s">
        <v>1129</v>
      </c>
      <c r="F157" s="17"/>
      <c r="G157" s="58">
        <v>3</v>
      </c>
      <c r="H157" s="57">
        <v>2.1419999999999999</v>
      </c>
      <c r="I157" s="103">
        <f t="shared" si="2"/>
        <v>471.06863999999996</v>
      </c>
    </row>
    <row r="158" spans="1:9" ht="18" customHeight="1" x14ac:dyDescent="0.25">
      <c r="A158" s="60" t="s">
        <v>1042</v>
      </c>
      <c r="B158" s="60">
        <v>62303</v>
      </c>
      <c r="C158" s="60" t="s">
        <v>10</v>
      </c>
      <c r="D158" s="59" t="s">
        <v>1127</v>
      </c>
      <c r="E158" s="11" t="s">
        <v>1128</v>
      </c>
      <c r="F158" s="17" t="s">
        <v>34</v>
      </c>
      <c r="G158" s="58">
        <v>2</v>
      </c>
      <c r="H158" s="57">
        <v>9.5833333333333321</v>
      </c>
      <c r="I158" s="103">
        <f t="shared" si="2"/>
        <v>2107.5666666666662</v>
      </c>
    </row>
    <row r="159" spans="1:9" ht="18" customHeight="1" x14ac:dyDescent="0.25">
      <c r="A159" s="60" t="s">
        <v>1042</v>
      </c>
      <c r="B159" s="60">
        <v>62303</v>
      </c>
      <c r="C159" s="60" t="s">
        <v>30</v>
      </c>
      <c r="D159" s="59" t="s">
        <v>1127</v>
      </c>
      <c r="E159" s="11" t="s">
        <v>1126</v>
      </c>
      <c r="F159" s="17" t="s">
        <v>34</v>
      </c>
      <c r="G159" s="58">
        <v>2</v>
      </c>
      <c r="H159" s="57">
        <v>7.666666666666667</v>
      </c>
      <c r="I159" s="103">
        <f t="shared" si="2"/>
        <v>1686.0533333333333</v>
      </c>
    </row>
    <row r="160" spans="1:9" ht="18" customHeight="1" x14ac:dyDescent="0.25">
      <c r="A160" s="60" t="s">
        <v>1042</v>
      </c>
      <c r="B160" s="60">
        <v>62309</v>
      </c>
      <c r="C160" s="60" t="s">
        <v>10</v>
      </c>
      <c r="D160" s="59" t="s">
        <v>1125</v>
      </c>
      <c r="E160" s="11" t="s">
        <v>1121</v>
      </c>
      <c r="F160" s="17" t="s">
        <v>1118</v>
      </c>
      <c r="G160" s="58">
        <v>4</v>
      </c>
      <c r="H160" s="57">
        <v>4.2550000000000008</v>
      </c>
      <c r="I160" s="103">
        <f t="shared" si="2"/>
        <v>935.75960000000009</v>
      </c>
    </row>
    <row r="161" spans="1:9" ht="18" customHeight="1" x14ac:dyDescent="0.25">
      <c r="A161" s="60" t="s">
        <v>1042</v>
      </c>
      <c r="B161" s="60">
        <v>62309</v>
      </c>
      <c r="C161" s="60" t="s">
        <v>30</v>
      </c>
      <c r="D161" s="59" t="s">
        <v>1125</v>
      </c>
      <c r="E161" s="11" t="s">
        <v>1119</v>
      </c>
      <c r="F161" s="17" t="s">
        <v>1118</v>
      </c>
      <c r="G161" s="58">
        <v>4</v>
      </c>
      <c r="H161" s="57">
        <v>4.0226999999999995</v>
      </c>
      <c r="I161" s="103">
        <f t="shared" si="2"/>
        <v>884.67218399999979</v>
      </c>
    </row>
    <row r="162" spans="1:9" ht="18" customHeight="1" x14ac:dyDescent="0.25">
      <c r="A162" s="60" t="s">
        <v>1042</v>
      </c>
      <c r="B162" s="60">
        <v>62310</v>
      </c>
      <c r="C162" s="60" t="s">
        <v>10</v>
      </c>
      <c r="D162" s="59" t="s">
        <v>1123</v>
      </c>
      <c r="E162" s="11" t="s">
        <v>1124</v>
      </c>
      <c r="F162" s="17"/>
      <c r="G162" s="58">
        <v>3</v>
      </c>
      <c r="H162" s="57">
        <v>4.76</v>
      </c>
      <c r="I162" s="103">
        <f t="shared" si="2"/>
        <v>1046.8191999999999</v>
      </c>
    </row>
    <row r="163" spans="1:9" ht="18" customHeight="1" x14ac:dyDescent="0.25">
      <c r="A163" s="60" t="s">
        <v>1042</v>
      </c>
      <c r="B163" s="60">
        <v>62310</v>
      </c>
      <c r="C163" s="60" t="s">
        <v>30</v>
      </c>
      <c r="D163" s="59" t="s">
        <v>1123</v>
      </c>
      <c r="E163" s="11" t="s">
        <v>1122</v>
      </c>
      <c r="F163" s="17"/>
      <c r="G163" s="58">
        <v>3</v>
      </c>
      <c r="H163" s="57">
        <v>2.38</v>
      </c>
      <c r="I163" s="103">
        <f t="shared" si="2"/>
        <v>523.40959999999995</v>
      </c>
    </row>
    <row r="164" spans="1:9" ht="18" customHeight="1" x14ac:dyDescent="0.25">
      <c r="A164" s="60" t="s">
        <v>1042</v>
      </c>
      <c r="B164" s="60">
        <v>62311</v>
      </c>
      <c r="C164" s="60" t="s">
        <v>10</v>
      </c>
      <c r="D164" s="59" t="s">
        <v>1120</v>
      </c>
      <c r="E164" s="11" t="s">
        <v>1121</v>
      </c>
      <c r="F164" s="17" t="s">
        <v>1118</v>
      </c>
      <c r="G164" s="58">
        <v>4</v>
      </c>
      <c r="H164" s="57">
        <v>3.3120000000000021</v>
      </c>
      <c r="I164" s="103">
        <f t="shared" si="2"/>
        <v>728.37504000000035</v>
      </c>
    </row>
    <row r="165" spans="1:9" ht="18" customHeight="1" x14ac:dyDescent="0.25">
      <c r="A165" s="60" t="s">
        <v>1042</v>
      </c>
      <c r="B165" s="60">
        <v>62311</v>
      </c>
      <c r="C165" s="60" t="s">
        <v>30</v>
      </c>
      <c r="D165" s="59" t="s">
        <v>1120</v>
      </c>
      <c r="E165" s="11" t="s">
        <v>1119</v>
      </c>
      <c r="F165" s="17" t="s">
        <v>1118</v>
      </c>
      <c r="G165" s="58">
        <v>4</v>
      </c>
      <c r="H165" s="57">
        <v>1.987200000000001</v>
      </c>
      <c r="I165" s="103">
        <f t="shared" si="2"/>
        <v>437.0250240000002</v>
      </c>
    </row>
    <row r="166" spans="1:9" ht="18" customHeight="1" x14ac:dyDescent="0.25">
      <c r="A166" s="60" t="s">
        <v>1042</v>
      </c>
      <c r="B166" s="60">
        <v>64017</v>
      </c>
      <c r="C166" s="60" t="s">
        <v>10</v>
      </c>
      <c r="D166" s="59" t="s">
        <v>1116</v>
      </c>
      <c r="E166" s="11" t="s">
        <v>1117</v>
      </c>
      <c r="F166" s="11"/>
      <c r="G166" s="58">
        <v>2</v>
      </c>
      <c r="H166" s="57">
        <v>1.4000000000000044</v>
      </c>
      <c r="I166" s="103">
        <f t="shared" si="2"/>
        <v>307.88800000000094</v>
      </c>
    </row>
    <row r="167" spans="1:9" ht="18" customHeight="1" x14ac:dyDescent="0.25">
      <c r="A167" s="60" t="s">
        <v>1042</v>
      </c>
      <c r="B167" s="60">
        <v>64017</v>
      </c>
      <c r="C167" s="60" t="s">
        <v>30</v>
      </c>
      <c r="D167" s="59" t="s">
        <v>1116</v>
      </c>
      <c r="E167" s="11" t="s">
        <v>1115</v>
      </c>
      <c r="F167" s="11"/>
      <c r="G167" s="58">
        <v>2</v>
      </c>
      <c r="H167" s="57">
        <v>0.70000000000000306</v>
      </c>
      <c r="I167" s="103">
        <f t="shared" si="2"/>
        <v>153.94400000000067</v>
      </c>
    </row>
    <row r="168" spans="1:9" ht="18" customHeight="1" x14ac:dyDescent="0.25">
      <c r="A168" s="60" t="s">
        <v>1042</v>
      </c>
      <c r="B168" s="60">
        <v>64044</v>
      </c>
      <c r="C168" s="60" t="s">
        <v>10</v>
      </c>
      <c r="D168" s="59" t="s">
        <v>1114</v>
      </c>
      <c r="E168" s="11" t="s">
        <v>1113</v>
      </c>
      <c r="F168" s="17"/>
      <c r="G168" s="58">
        <v>2</v>
      </c>
      <c r="H168" s="57">
        <v>0.70000000000000306</v>
      </c>
      <c r="I168" s="103">
        <f t="shared" si="2"/>
        <v>153.94400000000067</v>
      </c>
    </row>
    <row r="169" spans="1:9" ht="18" customHeight="1" x14ac:dyDescent="0.25">
      <c r="A169" s="60" t="s">
        <v>1042</v>
      </c>
      <c r="B169" s="60">
        <v>64047</v>
      </c>
      <c r="C169" s="60" t="s">
        <v>10</v>
      </c>
      <c r="D169" s="59" t="s">
        <v>1111</v>
      </c>
      <c r="E169" s="11" t="s">
        <v>1112</v>
      </c>
      <c r="F169" s="17"/>
      <c r="G169" s="58">
        <v>2</v>
      </c>
      <c r="H169" s="57">
        <v>0.81666666666666665</v>
      </c>
      <c r="I169" s="103">
        <f t="shared" si="2"/>
        <v>179.60133333333332</v>
      </c>
    </row>
    <row r="170" spans="1:9" ht="18" customHeight="1" x14ac:dyDescent="0.25">
      <c r="A170" s="60" t="s">
        <v>1042</v>
      </c>
      <c r="B170" s="60">
        <v>64047</v>
      </c>
      <c r="C170" s="60" t="s">
        <v>30</v>
      </c>
      <c r="D170" s="59" t="s">
        <v>1111</v>
      </c>
      <c r="E170" s="11" t="s">
        <v>1110</v>
      </c>
      <c r="F170" s="17"/>
      <c r="G170" s="58">
        <v>2</v>
      </c>
      <c r="H170" s="57">
        <v>0.39999999999999897</v>
      </c>
      <c r="I170" s="103">
        <f t="shared" si="2"/>
        <v>87.967999999999762</v>
      </c>
    </row>
    <row r="171" spans="1:9" ht="18" customHeight="1" x14ac:dyDescent="0.25">
      <c r="A171" s="60" t="s">
        <v>1042</v>
      </c>
      <c r="B171" s="60">
        <v>64070</v>
      </c>
      <c r="C171" s="60" t="s">
        <v>10</v>
      </c>
      <c r="D171" s="59" t="s">
        <v>1108</v>
      </c>
      <c r="E171" s="11" t="s">
        <v>1109</v>
      </c>
      <c r="F171" s="17"/>
      <c r="G171" s="58">
        <v>2</v>
      </c>
      <c r="H171" s="57">
        <v>1.2</v>
      </c>
      <c r="I171" s="103">
        <f t="shared" si="2"/>
        <v>263.904</v>
      </c>
    </row>
    <row r="172" spans="1:9" ht="18" customHeight="1" x14ac:dyDescent="0.25">
      <c r="A172" s="60" t="s">
        <v>1042</v>
      </c>
      <c r="B172" s="60">
        <v>64070</v>
      </c>
      <c r="C172" s="60" t="s">
        <v>30</v>
      </c>
      <c r="D172" s="59" t="s">
        <v>1108</v>
      </c>
      <c r="E172" s="11" t="s">
        <v>1107</v>
      </c>
      <c r="F172" s="17"/>
      <c r="G172" s="58">
        <v>2</v>
      </c>
      <c r="H172" s="57">
        <v>0.95</v>
      </c>
      <c r="I172" s="103">
        <f t="shared" si="2"/>
        <v>208.92399999999998</v>
      </c>
    </row>
    <row r="173" spans="1:9" ht="18" customHeight="1" x14ac:dyDescent="0.25">
      <c r="A173" s="60" t="s">
        <v>1042</v>
      </c>
      <c r="B173" s="60">
        <v>64074</v>
      </c>
      <c r="C173" s="60" t="s">
        <v>10</v>
      </c>
      <c r="D173" s="59" t="s">
        <v>1105</v>
      </c>
      <c r="E173" s="11" t="s">
        <v>1106</v>
      </c>
      <c r="F173" s="17" t="s">
        <v>1104</v>
      </c>
      <c r="G173" s="58">
        <v>2</v>
      </c>
      <c r="H173" s="57">
        <v>0.28657407407407437</v>
      </c>
      <c r="I173" s="103">
        <f t="shared" si="2"/>
        <v>63.023370370370429</v>
      </c>
    </row>
    <row r="174" spans="1:9" ht="18" customHeight="1" x14ac:dyDescent="0.25">
      <c r="A174" s="60" t="s">
        <v>1042</v>
      </c>
      <c r="B174" s="60">
        <v>64074</v>
      </c>
      <c r="C174" s="60" t="s">
        <v>30</v>
      </c>
      <c r="D174" s="59" t="s">
        <v>1105</v>
      </c>
      <c r="E174" s="11" t="s">
        <v>939</v>
      </c>
      <c r="F174" s="17" t="s">
        <v>1104</v>
      </c>
      <c r="G174" s="58">
        <v>2</v>
      </c>
      <c r="H174" s="57">
        <v>0.19999999999999898</v>
      </c>
      <c r="I174" s="103">
        <f t="shared" si="2"/>
        <v>43.983999999999774</v>
      </c>
    </row>
    <row r="175" spans="1:9" ht="18" customHeight="1" x14ac:dyDescent="0.25">
      <c r="A175" s="60" t="s">
        <v>1042</v>
      </c>
      <c r="B175" s="60">
        <v>64081</v>
      </c>
      <c r="C175" s="60" t="s">
        <v>10</v>
      </c>
      <c r="D175" s="59" t="s">
        <v>1102</v>
      </c>
      <c r="E175" s="11" t="s">
        <v>1103</v>
      </c>
      <c r="F175" s="17" t="s">
        <v>517</v>
      </c>
      <c r="G175" s="58">
        <v>2</v>
      </c>
      <c r="H175" s="57">
        <v>0.30238095238095208</v>
      </c>
      <c r="I175" s="103">
        <f t="shared" si="2"/>
        <v>66.499619047618978</v>
      </c>
    </row>
    <row r="176" spans="1:9" ht="18" customHeight="1" x14ac:dyDescent="0.25">
      <c r="A176" s="60" t="s">
        <v>1042</v>
      </c>
      <c r="B176" s="60">
        <v>64081</v>
      </c>
      <c r="C176" s="60" t="s">
        <v>30</v>
      </c>
      <c r="D176" s="59" t="s">
        <v>1102</v>
      </c>
      <c r="E176" s="11" t="s">
        <v>1101</v>
      </c>
      <c r="F176" s="17" t="s">
        <v>517</v>
      </c>
      <c r="G176" s="58">
        <v>2</v>
      </c>
      <c r="H176" s="57">
        <v>0.19999999999999568</v>
      </c>
      <c r="I176" s="103">
        <f t="shared" si="2"/>
        <v>43.98399999999905</v>
      </c>
    </row>
    <row r="177" spans="1:9" ht="18" customHeight="1" x14ac:dyDescent="0.25">
      <c r="A177" s="60" t="s">
        <v>1042</v>
      </c>
      <c r="B177" s="60">
        <v>64085</v>
      </c>
      <c r="C177" s="60" t="s">
        <v>10</v>
      </c>
      <c r="D177" s="59" t="s">
        <v>1100</v>
      </c>
      <c r="E177" s="11" t="s">
        <v>701</v>
      </c>
      <c r="F177" s="17"/>
      <c r="G177" s="58">
        <v>2</v>
      </c>
      <c r="H177" s="57">
        <v>0.2</v>
      </c>
      <c r="I177" s="103">
        <f t="shared" si="2"/>
        <v>43.984000000000002</v>
      </c>
    </row>
    <row r="178" spans="1:9" ht="18" customHeight="1" x14ac:dyDescent="0.25">
      <c r="A178" s="60" t="s">
        <v>1042</v>
      </c>
      <c r="B178" s="60">
        <v>64085</v>
      </c>
      <c r="C178" s="60" t="s">
        <v>30</v>
      </c>
      <c r="D178" s="59" t="s">
        <v>1100</v>
      </c>
      <c r="E178" s="11" t="s">
        <v>846</v>
      </c>
      <c r="F178" s="17"/>
      <c r="G178" s="58">
        <v>2</v>
      </c>
      <c r="H178" s="57">
        <v>0.12</v>
      </c>
      <c r="I178" s="103">
        <f t="shared" si="2"/>
        <v>26.390399999999996</v>
      </c>
    </row>
    <row r="179" spans="1:9" ht="18" customHeight="1" x14ac:dyDescent="0.25">
      <c r="A179" s="60" t="s">
        <v>1042</v>
      </c>
      <c r="B179" s="60">
        <v>64088</v>
      </c>
      <c r="C179" s="60" t="s">
        <v>10</v>
      </c>
      <c r="D179" s="59" t="s">
        <v>1098</v>
      </c>
      <c r="E179" s="11" t="s">
        <v>1099</v>
      </c>
      <c r="F179" s="17" t="s">
        <v>711</v>
      </c>
      <c r="G179" s="58">
        <v>2</v>
      </c>
      <c r="H179" s="57">
        <v>0.53333333333333</v>
      </c>
      <c r="I179" s="103">
        <f t="shared" si="2"/>
        <v>117.29066666666593</v>
      </c>
    </row>
    <row r="180" spans="1:9" ht="18" customHeight="1" x14ac:dyDescent="0.25">
      <c r="A180" s="60" t="s">
        <v>1042</v>
      </c>
      <c r="B180" s="60">
        <v>64088</v>
      </c>
      <c r="C180" s="60" t="s">
        <v>30</v>
      </c>
      <c r="D180" s="59" t="s">
        <v>1098</v>
      </c>
      <c r="E180" s="11" t="s">
        <v>1097</v>
      </c>
      <c r="F180" s="17" t="s">
        <v>897</v>
      </c>
      <c r="G180" s="58">
        <v>2</v>
      </c>
      <c r="H180" s="57">
        <v>0.29999999999999399</v>
      </c>
      <c r="I180" s="103">
        <f t="shared" si="2"/>
        <v>65.975999999998677</v>
      </c>
    </row>
    <row r="181" spans="1:9" ht="18" customHeight="1" x14ac:dyDescent="0.25">
      <c r="A181" s="60" t="s">
        <v>1042</v>
      </c>
      <c r="B181" s="60">
        <v>64101</v>
      </c>
      <c r="C181" s="60" t="s">
        <v>10</v>
      </c>
      <c r="D181" s="59" t="s">
        <v>1095</v>
      </c>
      <c r="E181" s="11" t="s">
        <v>1096</v>
      </c>
      <c r="F181" s="17"/>
      <c r="G181" s="58">
        <v>2</v>
      </c>
      <c r="H181" s="57">
        <v>0.17499999999999782</v>
      </c>
      <c r="I181" s="103">
        <f t="shared" si="2"/>
        <v>38.485999999999521</v>
      </c>
    </row>
    <row r="182" spans="1:9" ht="18" customHeight="1" x14ac:dyDescent="0.25">
      <c r="A182" s="60" t="s">
        <v>1042</v>
      </c>
      <c r="B182" s="60">
        <v>64101</v>
      </c>
      <c r="C182" s="60" t="s">
        <v>30</v>
      </c>
      <c r="D182" s="59" t="s">
        <v>1095</v>
      </c>
      <c r="E182" s="11" t="s">
        <v>1094</v>
      </c>
      <c r="F182" s="17"/>
      <c r="G182" s="58">
        <v>2</v>
      </c>
      <c r="H182" s="57">
        <v>0.15714285714285584</v>
      </c>
      <c r="I182" s="103">
        <f t="shared" si="2"/>
        <v>34.558857142856851</v>
      </c>
    </row>
    <row r="183" spans="1:9" ht="18" customHeight="1" x14ac:dyDescent="0.25">
      <c r="A183" s="60" t="s">
        <v>1042</v>
      </c>
      <c r="B183" s="62">
        <v>64105</v>
      </c>
      <c r="C183" s="60" t="s">
        <v>10</v>
      </c>
      <c r="D183" s="59" t="s">
        <v>1091</v>
      </c>
      <c r="E183" s="11" t="s">
        <v>1093</v>
      </c>
      <c r="F183" s="17" t="s">
        <v>1092</v>
      </c>
      <c r="G183" s="58">
        <v>2</v>
      </c>
      <c r="H183" s="57">
        <v>2.2999999999999998</v>
      </c>
      <c r="I183" s="103">
        <f t="shared" si="2"/>
        <v>505.81599999999992</v>
      </c>
    </row>
    <row r="184" spans="1:9" ht="18" customHeight="1" x14ac:dyDescent="0.25">
      <c r="A184" s="60" t="s">
        <v>1042</v>
      </c>
      <c r="B184" s="60">
        <v>64105</v>
      </c>
      <c r="C184" s="60" t="s">
        <v>30</v>
      </c>
      <c r="D184" s="59" t="s">
        <v>1091</v>
      </c>
      <c r="E184" s="11" t="s">
        <v>1090</v>
      </c>
      <c r="F184" s="17" t="s">
        <v>1084</v>
      </c>
      <c r="G184" s="58">
        <v>2</v>
      </c>
      <c r="H184" s="57">
        <v>1.38</v>
      </c>
      <c r="I184" s="103">
        <f t="shared" si="2"/>
        <v>303.48959999999994</v>
      </c>
    </row>
    <row r="185" spans="1:9" ht="18" customHeight="1" x14ac:dyDescent="0.25">
      <c r="A185" s="60" t="s">
        <v>1042</v>
      </c>
      <c r="B185" s="60">
        <v>64133</v>
      </c>
      <c r="C185" s="60" t="s">
        <v>30</v>
      </c>
      <c r="D185" s="59" t="s">
        <v>1089</v>
      </c>
      <c r="E185" s="11" t="s">
        <v>1088</v>
      </c>
      <c r="F185" s="17"/>
      <c r="G185" s="58">
        <v>3</v>
      </c>
      <c r="H185" s="57">
        <v>5.3966500000000002</v>
      </c>
      <c r="I185" s="103">
        <f t="shared" si="2"/>
        <v>1186.8312679999999</v>
      </c>
    </row>
    <row r="186" spans="1:9" ht="18" customHeight="1" x14ac:dyDescent="0.25">
      <c r="A186" s="60" t="s">
        <v>1042</v>
      </c>
      <c r="B186" s="60">
        <v>64151</v>
      </c>
      <c r="C186" s="60" t="s">
        <v>10</v>
      </c>
      <c r="D186" s="59" t="s">
        <v>1086</v>
      </c>
      <c r="E186" s="11" t="s">
        <v>1087</v>
      </c>
      <c r="F186" s="17" t="s">
        <v>1084</v>
      </c>
      <c r="G186" s="58">
        <v>2</v>
      </c>
      <c r="H186" s="57">
        <v>1.5</v>
      </c>
      <c r="I186" s="103">
        <f t="shared" si="2"/>
        <v>329.88</v>
      </c>
    </row>
    <row r="187" spans="1:9" ht="18" customHeight="1" x14ac:dyDescent="0.25">
      <c r="A187" s="60" t="s">
        <v>1042</v>
      </c>
      <c r="B187" s="60">
        <v>64151</v>
      </c>
      <c r="C187" s="60" t="s">
        <v>30</v>
      </c>
      <c r="D187" s="59" t="s">
        <v>1086</v>
      </c>
      <c r="E187" s="11" t="s">
        <v>1085</v>
      </c>
      <c r="F187" s="17" t="s">
        <v>1084</v>
      </c>
      <c r="G187" s="58">
        <v>2</v>
      </c>
      <c r="H187" s="57">
        <v>0.9</v>
      </c>
      <c r="I187" s="103">
        <f t="shared" si="2"/>
        <v>197.928</v>
      </c>
    </row>
    <row r="188" spans="1:9" ht="18" customHeight="1" x14ac:dyDescent="0.25">
      <c r="A188" s="60" t="s">
        <v>1042</v>
      </c>
      <c r="B188" s="60">
        <v>64161</v>
      </c>
      <c r="C188" s="60" t="s">
        <v>30</v>
      </c>
      <c r="D188" s="59" t="s">
        <v>1083</v>
      </c>
      <c r="E188" s="11" t="s">
        <v>1082</v>
      </c>
      <c r="F188" s="17"/>
      <c r="G188" s="58">
        <v>2</v>
      </c>
      <c r="H188" s="57">
        <v>0.49999999999999301</v>
      </c>
      <c r="I188" s="103">
        <f t="shared" si="2"/>
        <v>109.95999999999846</v>
      </c>
    </row>
    <row r="189" spans="1:9" ht="18" customHeight="1" x14ac:dyDescent="0.25">
      <c r="A189" s="60" t="s">
        <v>1042</v>
      </c>
      <c r="B189" s="60">
        <v>64199</v>
      </c>
      <c r="C189" s="60" t="s">
        <v>10</v>
      </c>
      <c r="D189" s="59" t="s">
        <v>1080</v>
      </c>
      <c r="E189" s="11" t="s">
        <v>1081</v>
      </c>
      <c r="F189" s="61"/>
      <c r="G189" s="58">
        <v>2</v>
      </c>
      <c r="H189" s="57">
        <v>0.60000000000000364</v>
      </c>
      <c r="I189" s="103">
        <f t="shared" si="2"/>
        <v>131.95200000000079</v>
      </c>
    </row>
    <row r="190" spans="1:9" ht="18" customHeight="1" x14ac:dyDescent="0.25">
      <c r="A190" s="60" t="s">
        <v>1042</v>
      </c>
      <c r="B190" s="60">
        <v>64199</v>
      </c>
      <c r="C190" s="60" t="s">
        <v>30</v>
      </c>
      <c r="D190" s="59" t="s">
        <v>1080</v>
      </c>
      <c r="E190" s="11" t="s">
        <v>1079</v>
      </c>
      <c r="F190" s="61"/>
      <c r="G190" s="58">
        <v>2</v>
      </c>
      <c r="H190" s="57">
        <v>0.36000000000000221</v>
      </c>
      <c r="I190" s="103">
        <f t="shared" si="2"/>
        <v>79.171200000000482</v>
      </c>
    </row>
    <row r="191" spans="1:9" ht="18" customHeight="1" x14ac:dyDescent="0.25">
      <c r="A191" s="60" t="s">
        <v>1042</v>
      </c>
      <c r="B191" s="60">
        <v>64203</v>
      </c>
      <c r="C191" s="60" t="s">
        <v>10</v>
      </c>
      <c r="D191" s="59" t="s">
        <v>1077</v>
      </c>
      <c r="E191" s="11" t="s">
        <v>1078</v>
      </c>
      <c r="F191" s="61"/>
      <c r="G191" s="58">
        <v>2</v>
      </c>
      <c r="H191" s="57">
        <v>1.5199999999999985</v>
      </c>
      <c r="I191" s="103">
        <f t="shared" si="2"/>
        <v>334.27839999999964</v>
      </c>
    </row>
    <row r="192" spans="1:9" ht="18" customHeight="1" x14ac:dyDescent="0.25">
      <c r="A192" s="60" t="s">
        <v>1042</v>
      </c>
      <c r="B192" s="60">
        <v>64203</v>
      </c>
      <c r="C192" s="60" t="s">
        <v>30</v>
      </c>
      <c r="D192" s="59" t="s">
        <v>1077</v>
      </c>
      <c r="E192" s="11" t="s">
        <v>1076</v>
      </c>
      <c r="F192" s="61"/>
      <c r="G192" s="58">
        <v>2</v>
      </c>
      <c r="H192" s="57">
        <v>1.4333333333333294</v>
      </c>
      <c r="I192" s="103">
        <f t="shared" si="2"/>
        <v>315.2186666666658</v>
      </c>
    </row>
    <row r="193" spans="1:9" ht="18" customHeight="1" x14ac:dyDescent="0.25">
      <c r="A193" s="60" t="s">
        <v>1042</v>
      </c>
      <c r="B193" s="60">
        <v>64205</v>
      </c>
      <c r="C193" s="60" t="s">
        <v>10</v>
      </c>
      <c r="D193" s="59" t="s">
        <v>1074</v>
      </c>
      <c r="E193" s="11" t="s">
        <v>1075</v>
      </c>
      <c r="F193" s="61"/>
      <c r="G193" s="58">
        <v>2</v>
      </c>
      <c r="H193" s="57">
        <v>0.96666666666666889</v>
      </c>
      <c r="I193" s="103">
        <f t="shared" si="2"/>
        <v>212.5893333333338</v>
      </c>
    </row>
    <row r="194" spans="1:9" ht="18" customHeight="1" x14ac:dyDescent="0.25">
      <c r="A194" s="60" t="s">
        <v>1042</v>
      </c>
      <c r="B194" s="60">
        <v>64205</v>
      </c>
      <c r="C194" s="60" t="s">
        <v>30</v>
      </c>
      <c r="D194" s="59" t="s">
        <v>1074</v>
      </c>
      <c r="E194" s="11" t="s">
        <v>1073</v>
      </c>
      <c r="F194" s="61"/>
      <c r="G194" s="58">
        <v>2</v>
      </c>
      <c r="H194" s="57">
        <v>0.57499999999999685</v>
      </c>
      <c r="I194" s="103">
        <f t="shared" si="2"/>
        <v>126.4539999999993</v>
      </c>
    </row>
    <row r="195" spans="1:9" ht="18" customHeight="1" x14ac:dyDescent="0.25">
      <c r="A195" s="60" t="s">
        <v>1042</v>
      </c>
      <c r="B195" s="60">
        <v>64207</v>
      </c>
      <c r="C195" s="60" t="s">
        <v>10</v>
      </c>
      <c r="D195" s="59" t="s">
        <v>1071</v>
      </c>
      <c r="E195" s="11" t="s">
        <v>1072</v>
      </c>
      <c r="F195" s="61"/>
      <c r="G195" s="58">
        <v>2</v>
      </c>
      <c r="H195" s="57">
        <v>1.3699999999999992</v>
      </c>
      <c r="I195" s="103">
        <f t="shared" ref="I195:I212" si="3">H195*219.92</f>
        <v>301.29039999999981</v>
      </c>
    </row>
    <row r="196" spans="1:9" ht="18" customHeight="1" x14ac:dyDescent="0.25">
      <c r="A196" s="60" t="s">
        <v>1042</v>
      </c>
      <c r="B196" s="60">
        <v>64207</v>
      </c>
      <c r="C196" s="60" t="s">
        <v>30</v>
      </c>
      <c r="D196" s="59" t="s">
        <v>1071</v>
      </c>
      <c r="E196" s="11" t="s">
        <v>1070</v>
      </c>
      <c r="F196" s="61"/>
      <c r="G196" s="58">
        <v>2</v>
      </c>
      <c r="H196" s="57">
        <v>0.64666666666666672</v>
      </c>
      <c r="I196" s="103">
        <f t="shared" si="3"/>
        <v>142.21493333333333</v>
      </c>
    </row>
    <row r="197" spans="1:9" ht="18" customHeight="1" x14ac:dyDescent="0.25">
      <c r="A197" s="60" t="s">
        <v>1042</v>
      </c>
      <c r="B197" s="60">
        <v>64215</v>
      </c>
      <c r="C197" s="60" t="s">
        <v>10</v>
      </c>
      <c r="D197" s="59" t="s">
        <v>1068</v>
      </c>
      <c r="E197" s="11" t="s">
        <v>1069</v>
      </c>
      <c r="F197" s="17"/>
      <c r="G197" s="58">
        <v>6</v>
      </c>
      <c r="H197" s="57">
        <v>26.4</v>
      </c>
      <c r="I197" s="103">
        <f t="shared" si="3"/>
        <v>5805.887999999999</v>
      </c>
    </row>
    <row r="198" spans="1:9" ht="18" customHeight="1" x14ac:dyDescent="0.25">
      <c r="A198" s="60" t="s">
        <v>1042</v>
      </c>
      <c r="B198" s="60">
        <v>64215</v>
      </c>
      <c r="C198" s="60" t="s">
        <v>30</v>
      </c>
      <c r="D198" s="59" t="s">
        <v>1068</v>
      </c>
      <c r="E198" s="11" t="s">
        <v>1067</v>
      </c>
      <c r="F198" s="17"/>
      <c r="G198" s="58">
        <v>6</v>
      </c>
      <c r="H198" s="57">
        <v>15.84</v>
      </c>
      <c r="I198" s="103">
        <f t="shared" si="3"/>
        <v>3483.5328</v>
      </c>
    </row>
    <row r="199" spans="1:9" ht="18" customHeight="1" x14ac:dyDescent="0.25">
      <c r="A199" s="60" t="s">
        <v>1042</v>
      </c>
      <c r="B199" s="60">
        <v>64216</v>
      </c>
      <c r="C199" s="60" t="s">
        <v>10</v>
      </c>
      <c r="D199" s="59" t="s">
        <v>1065</v>
      </c>
      <c r="E199" s="11" t="s">
        <v>1066</v>
      </c>
      <c r="F199" s="17"/>
      <c r="G199" s="58">
        <v>2</v>
      </c>
      <c r="H199" s="57">
        <v>0.51981250000000079</v>
      </c>
      <c r="I199" s="103">
        <f t="shared" si="3"/>
        <v>114.31716500000017</v>
      </c>
    </row>
    <row r="200" spans="1:9" ht="18" customHeight="1" x14ac:dyDescent="0.25">
      <c r="A200" s="60" t="s">
        <v>1042</v>
      </c>
      <c r="B200" s="60">
        <v>64216</v>
      </c>
      <c r="C200" s="60" t="s">
        <v>30</v>
      </c>
      <c r="D200" s="59" t="s">
        <v>1065</v>
      </c>
      <c r="E200" s="11" t="s">
        <v>1064</v>
      </c>
      <c r="F200" s="17"/>
      <c r="G200" s="58">
        <v>2</v>
      </c>
      <c r="H200" s="57">
        <v>0.19999999999999901</v>
      </c>
      <c r="I200" s="103">
        <f t="shared" si="3"/>
        <v>43.983999999999781</v>
      </c>
    </row>
    <row r="201" spans="1:9" ht="18" customHeight="1" x14ac:dyDescent="0.25">
      <c r="A201" s="60" t="s">
        <v>1042</v>
      </c>
      <c r="B201" s="60">
        <v>64217</v>
      </c>
      <c r="C201" s="60" t="s">
        <v>10</v>
      </c>
      <c r="D201" s="59" t="s">
        <v>1061</v>
      </c>
      <c r="E201" s="11" t="s">
        <v>1063</v>
      </c>
      <c r="F201" s="17" t="s">
        <v>1062</v>
      </c>
      <c r="G201" s="58">
        <v>2</v>
      </c>
      <c r="H201" s="57">
        <v>5</v>
      </c>
      <c r="I201" s="103">
        <f t="shared" si="3"/>
        <v>1099.5999999999999</v>
      </c>
    </row>
    <row r="202" spans="1:9" ht="18" customHeight="1" x14ac:dyDescent="0.25">
      <c r="A202" s="60" t="s">
        <v>1042</v>
      </c>
      <c r="B202" s="60">
        <v>64217</v>
      </c>
      <c r="C202" s="60" t="s">
        <v>30</v>
      </c>
      <c r="D202" s="59" t="s">
        <v>1061</v>
      </c>
      <c r="E202" s="11" t="s">
        <v>1060</v>
      </c>
      <c r="F202" s="17" t="s">
        <v>1059</v>
      </c>
      <c r="G202" s="58">
        <v>2</v>
      </c>
      <c r="H202" s="57">
        <v>3</v>
      </c>
      <c r="I202" s="103">
        <f t="shared" si="3"/>
        <v>659.76</v>
      </c>
    </row>
    <row r="203" spans="1:9" ht="18" customHeight="1" x14ac:dyDescent="0.25">
      <c r="A203" s="60" t="s">
        <v>1042</v>
      </c>
      <c r="B203" s="60">
        <v>64219</v>
      </c>
      <c r="C203" s="60" t="s">
        <v>30</v>
      </c>
      <c r="D203" s="59" t="s">
        <v>1058</v>
      </c>
      <c r="E203" s="11" t="s">
        <v>1057</v>
      </c>
      <c r="F203" s="44" t="s">
        <v>1056</v>
      </c>
      <c r="G203" s="58">
        <v>2</v>
      </c>
      <c r="H203" s="57">
        <v>5</v>
      </c>
      <c r="I203" s="103">
        <f t="shared" si="3"/>
        <v>1099.5999999999999</v>
      </c>
    </row>
    <row r="204" spans="1:9" ht="18" customHeight="1" x14ac:dyDescent="0.25">
      <c r="A204" s="60" t="s">
        <v>1042</v>
      </c>
      <c r="B204" s="60">
        <v>64241</v>
      </c>
      <c r="C204" s="60" t="s">
        <v>10</v>
      </c>
      <c r="D204" s="59" t="s">
        <v>1055</v>
      </c>
      <c r="E204" s="11" t="s">
        <v>1054</v>
      </c>
      <c r="F204" s="43"/>
      <c r="G204" s="58">
        <v>2</v>
      </c>
      <c r="H204" s="57">
        <v>1.7</v>
      </c>
      <c r="I204" s="103">
        <f t="shared" si="3"/>
        <v>373.86399999999998</v>
      </c>
    </row>
    <row r="205" spans="1:9" ht="18" customHeight="1" x14ac:dyDescent="0.25">
      <c r="A205" s="60" t="s">
        <v>1042</v>
      </c>
      <c r="B205" s="60">
        <v>66006</v>
      </c>
      <c r="C205" s="60" t="s">
        <v>10</v>
      </c>
      <c r="D205" s="59" t="s">
        <v>1052</v>
      </c>
      <c r="E205" s="11" t="s">
        <v>1053</v>
      </c>
      <c r="F205" s="43" t="s">
        <v>90</v>
      </c>
      <c r="G205" s="58">
        <v>2</v>
      </c>
      <c r="H205" s="57">
        <v>7.1000000000000059</v>
      </c>
      <c r="I205" s="103">
        <f t="shared" si="3"/>
        <v>1561.4320000000012</v>
      </c>
    </row>
    <row r="206" spans="1:9" ht="18" customHeight="1" x14ac:dyDescent="0.25">
      <c r="A206" s="60" t="s">
        <v>1042</v>
      </c>
      <c r="B206" s="60">
        <v>66006</v>
      </c>
      <c r="C206" s="60" t="s">
        <v>30</v>
      </c>
      <c r="D206" s="59" t="s">
        <v>1052</v>
      </c>
      <c r="E206" s="11" t="s">
        <v>1051</v>
      </c>
      <c r="F206" s="17" t="s">
        <v>166</v>
      </c>
      <c r="G206" s="58">
        <v>2</v>
      </c>
      <c r="H206" s="57">
        <v>3.8000000000000052</v>
      </c>
      <c r="I206" s="103">
        <f t="shared" si="3"/>
        <v>835.69600000000105</v>
      </c>
    </row>
    <row r="207" spans="1:9" ht="18" customHeight="1" x14ac:dyDescent="0.25">
      <c r="A207" s="60" t="s">
        <v>1042</v>
      </c>
      <c r="B207" s="60">
        <v>68008</v>
      </c>
      <c r="C207" s="60" t="s">
        <v>10</v>
      </c>
      <c r="D207" s="59" t="s">
        <v>1050</v>
      </c>
      <c r="E207" s="11" t="s">
        <v>826</v>
      </c>
      <c r="F207" s="43" t="s">
        <v>1049</v>
      </c>
      <c r="G207" s="58">
        <v>2</v>
      </c>
      <c r="H207" s="57">
        <v>0.74000000000000132</v>
      </c>
      <c r="I207" s="103">
        <f t="shared" si="3"/>
        <v>162.74080000000029</v>
      </c>
    </row>
    <row r="208" spans="1:9" ht="18" customHeight="1" x14ac:dyDescent="0.25">
      <c r="A208" s="60" t="s">
        <v>1042</v>
      </c>
      <c r="B208" s="60">
        <v>68009</v>
      </c>
      <c r="C208" s="60" t="s">
        <v>10</v>
      </c>
      <c r="D208" s="59" t="s">
        <v>1047</v>
      </c>
      <c r="E208" s="11" t="s">
        <v>1048</v>
      </c>
      <c r="F208" s="17" t="s">
        <v>503</v>
      </c>
      <c r="G208" s="58">
        <v>2</v>
      </c>
      <c r="H208" s="57">
        <v>0.34615384615384559</v>
      </c>
      <c r="I208" s="103">
        <f t="shared" si="3"/>
        <v>76.126153846153713</v>
      </c>
    </row>
    <row r="209" spans="1:9" ht="18" customHeight="1" x14ac:dyDescent="0.25">
      <c r="A209" s="60" t="s">
        <v>1042</v>
      </c>
      <c r="B209" s="60">
        <v>68009</v>
      </c>
      <c r="C209" s="60" t="s">
        <v>30</v>
      </c>
      <c r="D209" s="59" t="s">
        <v>1047</v>
      </c>
      <c r="E209" s="11" t="s">
        <v>1046</v>
      </c>
      <c r="F209" s="17"/>
      <c r="G209" s="58">
        <v>2</v>
      </c>
      <c r="H209" s="57">
        <v>0.19999999999999898</v>
      </c>
      <c r="I209" s="103">
        <f t="shared" si="3"/>
        <v>43.983999999999774</v>
      </c>
    </row>
    <row r="210" spans="1:9" ht="18" customHeight="1" x14ac:dyDescent="0.25">
      <c r="A210" s="60" t="s">
        <v>1042</v>
      </c>
      <c r="B210" s="60">
        <v>68014</v>
      </c>
      <c r="C210" s="60" t="s">
        <v>10</v>
      </c>
      <c r="D210" s="59" t="s">
        <v>1045</v>
      </c>
      <c r="E210" s="11" t="s">
        <v>1044</v>
      </c>
      <c r="F210" s="17" t="s">
        <v>123</v>
      </c>
      <c r="G210" s="58">
        <v>2</v>
      </c>
      <c r="H210" s="57">
        <v>3.4999999999999902</v>
      </c>
      <c r="I210" s="103">
        <f t="shared" si="3"/>
        <v>769.71999999999775</v>
      </c>
    </row>
    <row r="211" spans="1:9" ht="18" customHeight="1" x14ac:dyDescent="0.25">
      <c r="A211" s="60" t="s">
        <v>1042</v>
      </c>
      <c r="B211" s="60">
        <v>68049</v>
      </c>
      <c r="C211" s="60" t="s">
        <v>10</v>
      </c>
      <c r="D211" s="59" t="s">
        <v>1041</v>
      </c>
      <c r="E211" s="11" t="s">
        <v>1043</v>
      </c>
      <c r="F211" s="17" t="s">
        <v>870</v>
      </c>
      <c r="G211" s="58">
        <v>2</v>
      </c>
      <c r="H211" s="57">
        <v>0.19384920634920655</v>
      </c>
      <c r="I211" s="103">
        <f t="shared" si="3"/>
        <v>42.631317460317504</v>
      </c>
    </row>
    <row r="212" spans="1:9" ht="18" customHeight="1" x14ac:dyDescent="0.25">
      <c r="A212" s="60" t="s">
        <v>1042</v>
      </c>
      <c r="B212" s="60">
        <v>68049</v>
      </c>
      <c r="C212" s="60" t="s">
        <v>30</v>
      </c>
      <c r="D212" s="59" t="s">
        <v>1041</v>
      </c>
      <c r="E212" s="11" t="s">
        <v>899</v>
      </c>
      <c r="F212" s="43" t="s">
        <v>870</v>
      </c>
      <c r="G212" s="58">
        <v>2</v>
      </c>
      <c r="H212" s="57">
        <v>0.11209899749373482</v>
      </c>
      <c r="I212" s="103">
        <f t="shared" si="3"/>
        <v>24.652811528822159</v>
      </c>
    </row>
  </sheetData>
  <autoFilter ref="A1:H212" xr:uid="{0E570422-EBDF-4862-8449-289216D05A0A}">
    <sortState xmlns:xlrd2="http://schemas.microsoft.com/office/spreadsheetml/2017/richdata2" ref="A2:H212">
      <sortCondition ref="B1:B212"/>
    </sortState>
  </autoFilter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1507-CAE7-4DCE-BC6D-138C485EF3B2}">
  <dimension ref="B1:I11"/>
  <sheetViews>
    <sheetView showGridLines="0" zoomScale="115" zoomScaleNormal="115" workbookViewId="0">
      <pane ySplit="2" topLeftCell="A3" activePane="bottomLeft" state="frozen"/>
      <selection pane="bottomLeft" activeCell="E14" sqref="E14"/>
    </sheetView>
  </sheetViews>
  <sheetFormatPr defaultRowHeight="15" x14ac:dyDescent="0.25"/>
  <cols>
    <col min="1" max="1" width="1.28515625" customWidth="1"/>
    <col min="2" max="2" width="11.7109375" customWidth="1"/>
    <col min="3" max="3" width="18.28515625" customWidth="1"/>
    <col min="4" max="4" width="17.7109375" customWidth="1"/>
    <col min="5" max="5" width="68.28515625" customWidth="1"/>
    <col min="6" max="6" width="92.42578125" customWidth="1"/>
    <col min="7" max="7" width="13.140625" customWidth="1"/>
  </cols>
  <sheetData>
    <row r="1" spans="2:9" ht="6.75" customHeight="1" x14ac:dyDescent="0.25"/>
    <row r="2" spans="2:9" ht="28.9" customHeight="1" x14ac:dyDescent="0.25">
      <c r="B2" s="84" t="s">
        <v>0</v>
      </c>
      <c r="C2" s="83" t="s">
        <v>1</v>
      </c>
      <c r="D2" s="83" t="s">
        <v>2</v>
      </c>
      <c r="E2" s="82" t="s">
        <v>1427</v>
      </c>
      <c r="F2" s="82" t="s">
        <v>4</v>
      </c>
      <c r="G2" s="81" t="s">
        <v>8</v>
      </c>
    </row>
    <row r="3" spans="2:9" ht="60" x14ac:dyDescent="0.25">
      <c r="B3" s="80" t="s">
        <v>1424</v>
      </c>
      <c r="C3" s="79">
        <v>67000</v>
      </c>
      <c r="D3" s="79" t="s">
        <v>1409</v>
      </c>
      <c r="E3" s="78" t="s">
        <v>1426</v>
      </c>
      <c r="F3" s="77" t="s">
        <v>1425</v>
      </c>
      <c r="G3" s="76">
        <v>10.56</v>
      </c>
    </row>
    <row r="4" spans="2:9" ht="66" customHeight="1" x14ac:dyDescent="0.25">
      <c r="B4" s="80" t="s">
        <v>1424</v>
      </c>
      <c r="C4" s="79">
        <v>67002</v>
      </c>
      <c r="D4" s="79" t="s">
        <v>1409</v>
      </c>
      <c r="E4" s="78" t="s">
        <v>1423</v>
      </c>
      <c r="F4" s="77" t="s">
        <v>1422</v>
      </c>
      <c r="G4" s="76">
        <v>0.26</v>
      </c>
      <c r="I4" s="8"/>
    </row>
    <row r="5" spans="2:9" ht="64.5" customHeight="1" x14ac:dyDescent="0.25">
      <c r="B5" s="9" t="s">
        <v>9</v>
      </c>
      <c r="C5" s="10">
        <v>67005</v>
      </c>
      <c r="D5" s="10" t="s">
        <v>1409</v>
      </c>
      <c r="E5" s="30" t="s">
        <v>1421</v>
      </c>
      <c r="F5" s="11" t="s">
        <v>1420</v>
      </c>
      <c r="G5" s="74">
        <v>0.14000000000000001</v>
      </c>
      <c r="I5" s="75"/>
    </row>
    <row r="6" spans="2:9" ht="64.5" customHeight="1" x14ac:dyDescent="0.25">
      <c r="B6" s="9" t="s">
        <v>9</v>
      </c>
      <c r="C6" s="10">
        <v>67006</v>
      </c>
      <c r="D6" s="10" t="s">
        <v>1409</v>
      </c>
      <c r="E6" s="30" t="s">
        <v>1419</v>
      </c>
      <c r="F6" s="11" t="s">
        <v>1418</v>
      </c>
      <c r="G6" s="74">
        <v>0.09</v>
      </c>
      <c r="I6" s="75"/>
    </row>
    <row r="7" spans="2:9" ht="75" x14ac:dyDescent="0.25">
      <c r="B7" s="9" t="s">
        <v>9</v>
      </c>
      <c r="C7" s="10">
        <v>67003</v>
      </c>
      <c r="D7" s="10" t="s">
        <v>1409</v>
      </c>
      <c r="E7" s="30" t="s">
        <v>1417</v>
      </c>
      <c r="F7" s="11" t="s">
        <v>1416</v>
      </c>
      <c r="G7" s="74">
        <v>1</v>
      </c>
    </row>
    <row r="8" spans="2:9" ht="45" x14ac:dyDescent="0.25">
      <c r="B8" s="9" t="s">
        <v>9</v>
      </c>
      <c r="C8" s="10">
        <v>67001</v>
      </c>
      <c r="D8" s="10" t="s">
        <v>1409</v>
      </c>
      <c r="E8" s="30" t="s">
        <v>1415</v>
      </c>
      <c r="F8" s="11" t="s">
        <v>1414</v>
      </c>
      <c r="G8" s="74">
        <v>1</v>
      </c>
    </row>
    <row r="9" spans="2:9" ht="45" x14ac:dyDescent="0.25">
      <c r="B9" s="9" t="s">
        <v>9</v>
      </c>
      <c r="C9" s="10">
        <v>60210</v>
      </c>
      <c r="D9" s="10" t="s">
        <v>1409</v>
      </c>
      <c r="E9" s="30" t="s">
        <v>1413</v>
      </c>
      <c r="F9" s="11" t="s">
        <v>1412</v>
      </c>
      <c r="G9" s="74">
        <v>1</v>
      </c>
    </row>
    <row r="10" spans="2:9" ht="75" x14ac:dyDescent="0.25">
      <c r="B10" s="9" t="s">
        <v>9</v>
      </c>
      <c r="C10" s="10">
        <v>67004</v>
      </c>
      <c r="D10" s="10" t="s">
        <v>1409</v>
      </c>
      <c r="E10" s="30" t="s">
        <v>1411</v>
      </c>
      <c r="F10" s="11" t="s">
        <v>1410</v>
      </c>
      <c r="G10" s="74">
        <v>1</v>
      </c>
    </row>
    <row r="11" spans="2:9" ht="45" x14ac:dyDescent="0.25">
      <c r="B11" s="9" t="s">
        <v>9</v>
      </c>
      <c r="C11" s="10">
        <v>67007</v>
      </c>
      <c r="D11" s="10" t="s">
        <v>1409</v>
      </c>
      <c r="E11" s="30" t="s">
        <v>1408</v>
      </c>
      <c r="F11" s="11" t="s">
        <v>1407</v>
      </c>
      <c r="G11" s="74">
        <v>1</v>
      </c>
    </row>
  </sheetData>
  <autoFilter ref="C2:G11" xr:uid="{BD5FE650-6D24-4030-8ED9-C2D38168AB7A}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C&amp;M (LM)</vt:lpstr>
      <vt:lpstr>C&amp;M (LV)</vt:lpstr>
      <vt:lpstr>PAGAMENTOS ESPECIAIS</vt:lpstr>
    </vt:vector>
  </TitlesOfParts>
  <Manager/>
  <Company>Energisa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Jaqueline Moretti Campos</dc:creator>
  <cp:keywords/>
  <dc:description/>
  <cp:lastModifiedBy>Matheus Alves Araujo</cp:lastModifiedBy>
  <cp:revision/>
  <dcterms:created xsi:type="dcterms:W3CDTF">2025-09-18T13:54:48Z</dcterms:created>
  <dcterms:modified xsi:type="dcterms:W3CDTF">2026-10-15T17:05:38Z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bd6a6-3ee2-44d9-853f-48d7cb47f6e1_Enabled">
    <vt:lpwstr>true</vt:lpwstr>
  </property>
  <property fmtid="{D5CDD505-2E9C-101B-9397-08002B2CF9AE}" pid="3" name="MSIP_Label_497bd6a6-3ee2-44d9-853f-48d7cb47f6e1_SetDate">
    <vt:lpwstr>2026-09-11T16:54:20Z</vt:lpwstr>
  </property>
  <property fmtid="{D5CDD505-2E9C-101B-9397-08002B2CF9AE}" pid="4" name="MSIP_Label_497bd6a6-3ee2-44d9-853f-48d7cb47f6e1_Method">
    <vt:lpwstr>Standard</vt:lpwstr>
  </property>
  <property fmtid="{D5CDD505-2E9C-101B-9397-08002B2CF9AE}" pid="5" name="MSIP_Label_497bd6a6-3ee2-44d9-853f-48d7cb47f6e1_Name">
    <vt:lpwstr>Política de LGPD</vt:lpwstr>
  </property>
  <property fmtid="{D5CDD505-2E9C-101B-9397-08002B2CF9AE}" pid="6" name="MSIP_Label_497bd6a6-3ee2-44d9-853f-48d7cb47f6e1_SiteId">
    <vt:lpwstr>095fcbf2-5c04-40c7-9d9b-07006f3bb0bc</vt:lpwstr>
  </property>
  <property fmtid="{D5CDD505-2E9C-101B-9397-08002B2CF9AE}" pid="7" name="MSIP_Label_497bd6a6-3ee2-44d9-853f-48d7cb47f6e1_ActionId">
    <vt:lpwstr>ffef3b96-82fb-40b3-9f4c-74d95d6603a8</vt:lpwstr>
  </property>
  <property fmtid="{D5CDD505-2E9C-101B-9397-08002B2CF9AE}" pid="8" name="MSIP_Label_497bd6a6-3ee2-44d9-853f-48d7cb47f6e1_ContentBits">
    <vt:lpwstr>0</vt:lpwstr>
  </property>
  <property fmtid="{D5CDD505-2E9C-101B-9397-08002B2CF9AE}" pid="9" name="MSIP_Label_497bd6a6-3ee2-44d9-853f-48d7cb47f6e1_Tag">
    <vt:lpwstr>10, 3, 0, 2</vt:lpwstr>
  </property>
</Properties>
</file>